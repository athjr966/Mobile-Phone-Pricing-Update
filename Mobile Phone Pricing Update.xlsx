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TRO 5\Desktop\Ecommerce Data\Mobile Phone Pricing Update\"/>
    </mc:Choice>
  </mc:AlternateContent>
  <xr:revisionPtr revIDLastSave="0" documentId="8_{76A48E83-A96F-42DF-8334-292F15D4F7A7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Cleaned data" sheetId="1" r:id="rId1"/>
    <sheet name="Working sheet" sheetId="2" r:id="rId2"/>
    <sheet name="Sheet2" sheetId="5" state="hidden" r:id="rId3"/>
    <sheet name="Sheet3" sheetId="6" state="hidden" r:id="rId4"/>
    <sheet name="Sheet4" sheetId="7" state="hidden" r:id="rId5"/>
    <sheet name="Sheet5" sheetId="8" state="hidden" r:id="rId6"/>
    <sheet name="Dashboard" sheetId="3" r:id="rId7"/>
  </sheet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K7" i="2"/>
  <c r="B8" i="3"/>
  <c r="N2" i="2"/>
  <c r="N20" i="2"/>
  <c r="I3" i="2"/>
  <c r="I2" i="2"/>
  <c r="J2" i="2" s="1"/>
  <c r="K2" i="2" s="1"/>
  <c r="I4" i="2"/>
  <c r="I5" i="2"/>
  <c r="I6" i="2"/>
  <c r="I7" i="2"/>
  <c r="I8" i="2"/>
  <c r="I9" i="2"/>
  <c r="I10" i="2"/>
  <c r="I11" i="2"/>
  <c r="I12" i="2"/>
  <c r="J12" i="2" s="1"/>
  <c r="I13" i="2"/>
  <c r="I14" i="2"/>
  <c r="J14" i="2" s="1"/>
  <c r="K14" i="2" s="1"/>
  <c r="M14" i="2" s="1"/>
  <c r="N14" i="2" s="1"/>
  <c r="I15" i="2"/>
  <c r="I16" i="2"/>
  <c r="I17" i="2"/>
  <c r="I18" i="2"/>
  <c r="I19" i="2"/>
  <c r="I20" i="2"/>
  <c r="J20" i="2" s="1"/>
  <c r="K20" i="2" s="1"/>
  <c r="M20" i="2" s="1"/>
  <c r="I21" i="2"/>
  <c r="I22" i="2"/>
  <c r="I23" i="2"/>
  <c r="I24" i="2"/>
  <c r="J24" i="2" s="1"/>
  <c r="K24" i="2" s="1"/>
  <c r="M24" i="2" s="1"/>
  <c r="N24" i="2" s="1"/>
  <c r="I25" i="2"/>
  <c r="I26" i="2"/>
  <c r="J26" i="2" s="1"/>
  <c r="K26" i="2" s="1"/>
  <c r="M26" i="2" s="1"/>
  <c r="N26" i="2" s="1"/>
  <c r="I27" i="2"/>
  <c r="I28" i="2"/>
  <c r="I29" i="2"/>
  <c r="I30" i="2"/>
  <c r="I31" i="2"/>
  <c r="L31" i="2"/>
  <c r="H31" i="2"/>
  <c r="J31" i="2" s="1"/>
  <c r="L30" i="2"/>
  <c r="J30" i="2"/>
  <c r="K30" i="2" s="1"/>
  <c r="M30" i="2" s="1"/>
  <c r="N30" i="2" s="1"/>
  <c r="H30" i="2"/>
  <c r="L29" i="2"/>
  <c r="H29" i="2"/>
  <c r="J29" i="2" s="1"/>
  <c r="L28" i="2"/>
  <c r="J28" i="2"/>
  <c r="K28" i="2" s="1"/>
  <c r="M28" i="2" s="1"/>
  <c r="N28" i="2" s="1"/>
  <c r="H28" i="2"/>
  <c r="L27" i="2"/>
  <c r="H27" i="2"/>
  <c r="L26" i="2"/>
  <c r="H26" i="2"/>
  <c r="L25" i="2"/>
  <c r="H25" i="2"/>
  <c r="L24" i="2"/>
  <c r="H24" i="2"/>
  <c r="L23" i="2"/>
  <c r="H23" i="2"/>
  <c r="J23" i="2" s="1"/>
  <c r="L22" i="2"/>
  <c r="J22" i="2"/>
  <c r="K22" i="2" s="1"/>
  <c r="H22" i="2"/>
  <c r="L21" i="2"/>
  <c r="H21" i="2"/>
  <c r="J21" i="2" s="1"/>
  <c r="L20" i="2"/>
  <c r="H20" i="2"/>
  <c r="L19" i="2"/>
  <c r="H19" i="2"/>
  <c r="J19" i="2" s="1"/>
  <c r="L18" i="2"/>
  <c r="J18" i="2"/>
  <c r="K18" i="2" s="1"/>
  <c r="M18" i="2" s="1"/>
  <c r="N18" i="2" s="1"/>
  <c r="H18" i="2"/>
  <c r="L17" i="2"/>
  <c r="H17" i="2"/>
  <c r="J17" i="2" s="1"/>
  <c r="L16" i="2"/>
  <c r="J16" i="2"/>
  <c r="K16" i="2" s="1"/>
  <c r="M16" i="2" s="1"/>
  <c r="N16" i="2" s="1"/>
  <c r="H16" i="2"/>
  <c r="L15" i="2"/>
  <c r="H15" i="2"/>
  <c r="J15" i="2" s="1"/>
  <c r="L14" i="2"/>
  <c r="H14" i="2"/>
  <c r="L13" i="2"/>
  <c r="H13" i="2"/>
  <c r="L12" i="2"/>
  <c r="H12" i="2"/>
  <c r="L11" i="2"/>
  <c r="H11" i="2"/>
  <c r="J11" i="2" s="1"/>
  <c r="L10" i="2"/>
  <c r="J10" i="2"/>
  <c r="K10" i="2" s="1"/>
  <c r="M10" i="2" s="1"/>
  <c r="N10" i="2" s="1"/>
  <c r="H10" i="2"/>
  <c r="L9" i="2"/>
  <c r="H9" i="2"/>
  <c r="J9" i="2" s="1"/>
  <c r="L8" i="2"/>
  <c r="J8" i="2"/>
  <c r="K8" i="2" s="1"/>
  <c r="M8" i="2" s="1"/>
  <c r="N8" i="2" s="1"/>
  <c r="H8" i="2"/>
  <c r="L7" i="2"/>
  <c r="H7" i="2"/>
  <c r="J7" i="2" s="1"/>
  <c r="L6" i="2"/>
  <c r="J6" i="2"/>
  <c r="K6" i="2" s="1"/>
  <c r="M6" i="2" s="1"/>
  <c r="N6" i="2" s="1"/>
  <c r="H6" i="2"/>
  <c r="L5" i="2"/>
  <c r="H5" i="2"/>
  <c r="J5" i="2" s="1"/>
  <c r="L4" i="2"/>
  <c r="J4" i="2"/>
  <c r="K4" i="2" s="1"/>
  <c r="H4" i="2"/>
  <c r="L3" i="2"/>
  <c r="H3" i="2"/>
  <c r="L2" i="2"/>
  <c r="H2" i="2"/>
  <c r="J3" i="2" l="1"/>
  <c r="K12" i="2"/>
  <c r="M12" i="2"/>
  <c r="N12" i="2" s="1"/>
  <c r="M22" i="2"/>
  <c r="N22" i="2" s="1"/>
  <c r="J13" i="2"/>
  <c r="K13" i="2" s="1"/>
  <c r="M13" i="2" s="1"/>
  <c r="N13" i="2" s="1"/>
  <c r="J27" i="2"/>
  <c r="K27" i="2" s="1"/>
  <c r="M27" i="2" s="1"/>
  <c r="N27" i="2" s="1"/>
  <c r="J25" i="2"/>
  <c r="M2" i="2"/>
  <c r="K5" i="2"/>
  <c r="M7" i="2"/>
  <c r="N7" i="2" s="1"/>
  <c r="K3" i="2"/>
  <c r="K17" i="2"/>
  <c r="M17" i="2" s="1"/>
  <c r="N17" i="2" s="1"/>
  <c r="M4" i="2"/>
  <c r="N4" i="2" s="1"/>
  <c r="K9" i="2"/>
  <c r="K23" i="2"/>
  <c r="M23" i="2" s="1"/>
  <c r="N23" i="2" s="1"/>
  <c r="K19" i="2"/>
  <c r="K29" i="2"/>
  <c r="M29" i="2" s="1"/>
  <c r="N29" i="2" s="1"/>
  <c r="K15" i="2"/>
  <c r="M15" i="2" s="1"/>
  <c r="N15" i="2" s="1"/>
  <c r="K11" i="2"/>
  <c r="M11" i="2" s="1"/>
  <c r="N11" i="2" s="1"/>
  <c r="K25" i="2"/>
  <c r="M25" i="2" s="1"/>
  <c r="N25" i="2" s="1"/>
  <c r="K21" i="2"/>
  <c r="M21" i="2" s="1"/>
  <c r="N21" i="2" s="1"/>
  <c r="K31" i="2"/>
  <c r="M31" i="2" s="1"/>
  <c r="N31" i="2" s="1"/>
  <c r="M9" i="2" l="1"/>
  <c r="N9" i="2" s="1"/>
  <c r="M3" i="2"/>
  <c r="N3" i="2" s="1"/>
  <c r="M19" i="2"/>
  <c r="N19" i="2" s="1"/>
  <c r="M5" i="2"/>
  <c r="N5" i="2" s="1"/>
  <c r="B9" i="3"/>
  <c r="B5" i="3"/>
  <c r="B6" i="3"/>
  <c r="B7" i="3"/>
</calcChain>
</file>

<file path=xl/sharedStrings.xml><?xml version="1.0" encoding="utf-8"?>
<sst xmlns="http://schemas.openxmlformats.org/spreadsheetml/2006/main" count="944" uniqueCount="124">
  <si>
    <t>Product Code</t>
  </si>
  <si>
    <t>Product Name</t>
  </si>
  <si>
    <t>Category</t>
  </si>
  <si>
    <t>Supplier</t>
  </si>
  <si>
    <t>Cost Price (est.)</t>
  </si>
  <si>
    <t>Current Price</t>
  </si>
  <si>
    <t>Original Promo Price</t>
  </si>
  <si>
    <t>Competitor Price</t>
  </si>
  <si>
    <t>Platform</t>
  </si>
  <si>
    <t>`Platform Fee%</t>
  </si>
  <si>
    <t>Last Updated</t>
  </si>
  <si>
    <t>IP13-128</t>
  </si>
  <si>
    <t>iPhone 13 128GB</t>
  </si>
  <si>
    <t>iPhone</t>
  </si>
  <si>
    <t>Apple Official</t>
  </si>
  <si>
    <t>Shopee</t>
  </si>
  <si>
    <t>SA55</t>
  </si>
  <si>
    <t>Samsung Galaxy A55</t>
  </si>
  <si>
    <t>Samsung</t>
  </si>
  <si>
    <t>Samsung MY</t>
  </si>
  <si>
    <t>Lazada</t>
  </si>
  <si>
    <t>IP14P-256</t>
  </si>
  <si>
    <t>iPhone 14 Pro 256GB</t>
  </si>
  <si>
    <t>Tiktok Shop</t>
  </si>
  <si>
    <t>S24-256</t>
  </si>
  <si>
    <t>Samsung Galaxy S24 256GB</t>
  </si>
  <si>
    <t>Website</t>
  </si>
  <si>
    <t>IP15-128</t>
  </si>
  <si>
    <t>iPhone 15 128GB</t>
  </si>
  <si>
    <t>IP13-256</t>
  </si>
  <si>
    <t>iPhone 13 256GB</t>
  </si>
  <si>
    <t>SA35</t>
  </si>
  <si>
    <t>Samsung Galaxy A35</t>
  </si>
  <si>
    <t>IP14-128</t>
  </si>
  <si>
    <t>iPhone 14 128GB</t>
  </si>
  <si>
    <t>S23FE</t>
  </si>
  <si>
    <t>Samsung Galaxy S23 FE</t>
  </si>
  <si>
    <t>IP15P-256</t>
  </si>
  <si>
    <t>iPhone 15 Pro 256GB</t>
  </si>
  <si>
    <t>IP16-128</t>
  </si>
  <si>
    <t>iPhone 16 128GB</t>
  </si>
  <si>
    <t>SA56</t>
  </si>
  <si>
    <t>Samsung Galaxy A56</t>
  </si>
  <si>
    <t>IP14P-512</t>
  </si>
  <si>
    <t>iPhone 14 Pro 512GB</t>
  </si>
  <si>
    <t>TikTok Shop</t>
  </si>
  <si>
    <t>S24U-256</t>
  </si>
  <si>
    <t>Samsung Galaxy S24 Ultra 256GB</t>
  </si>
  <si>
    <t>IP15-256</t>
  </si>
  <si>
    <t>iPhone 15 256GB</t>
  </si>
  <si>
    <t>SA25</t>
  </si>
  <si>
    <t>Samsung Galaxy A25</t>
  </si>
  <si>
    <t>IP16P-256</t>
  </si>
  <si>
    <t>iPhone 16 Pro 256GB</t>
  </si>
  <si>
    <t>S23-256</t>
  </si>
  <si>
    <t>Samsung Galaxy S23 256GB</t>
  </si>
  <si>
    <t>IP13P-128</t>
  </si>
  <si>
    <t>iPhone 13 Pro 128GB</t>
  </si>
  <si>
    <t>SA54</t>
  </si>
  <si>
    <t>Samsung Galaxy A54</t>
  </si>
  <si>
    <t>IP15P-512</t>
  </si>
  <si>
    <t>iPhone 15 Pro 512GB</t>
  </si>
  <si>
    <t>S24FE</t>
  </si>
  <si>
    <t>Samsung Galaxy S24 FE</t>
  </si>
  <si>
    <t>IP16-256</t>
  </si>
  <si>
    <t>iPhone 16 256GB</t>
  </si>
  <si>
    <t>SA36</t>
  </si>
  <si>
    <t>Samsung Galaxy A36</t>
  </si>
  <si>
    <t>IP14-256</t>
  </si>
  <si>
    <t>iPhone 14 256GB</t>
  </si>
  <si>
    <t>S25-128</t>
  </si>
  <si>
    <t>Samsung Galaxy S25 128GB</t>
  </si>
  <si>
    <t>IP15-512</t>
  </si>
  <si>
    <t>iPhone 15 512GB</t>
  </si>
  <si>
    <t>SA23</t>
  </si>
  <si>
    <t>Samsung Galaxy A23</t>
  </si>
  <si>
    <t>IP16P-512</t>
  </si>
  <si>
    <t>iPhone 16 Pro 512GB</t>
  </si>
  <si>
    <t>S24-512</t>
  </si>
  <si>
    <t>Samsung Galaxy S24 512GB</t>
  </si>
  <si>
    <t>Product</t>
  </si>
  <si>
    <t>Current Price (RM)</t>
  </si>
  <si>
    <t>Promo Price (RM)</t>
  </si>
  <si>
    <t>Competitor Price (RM)</t>
  </si>
  <si>
    <t>Platform Fee (%)</t>
  </si>
  <si>
    <t>Revenue After Fee (RM)</t>
  </si>
  <si>
    <t>Cost Price (RM)</t>
  </si>
  <si>
    <t>Profit (RM)</t>
  </si>
  <si>
    <t>Margin (%)</t>
  </si>
  <si>
    <t>vs Competitor</t>
  </si>
  <si>
    <t>Status</t>
  </si>
  <si>
    <t>Risk Level</t>
  </si>
  <si>
    <t>KPI Summary</t>
  </si>
  <si>
    <t>KPI</t>
  </si>
  <si>
    <t>Value</t>
  </si>
  <si>
    <t>Total Products</t>
  </si>
  <si>
    <t>Highest Margin</t>
  </si>
  <si>
    <t>Average Margin</t>
  </si>
  <si>
    <t>Lowest Margin</t>
  </si>
  <si>
    <t>Products at Risk (&lt;5%)</t>
  </si>
  <si>
    <t>Loss Risk Product</t>
  </si>
  <si>
    <t>Products at risk</t>
  </si>
  <si>
    <t xml:space="preserve">Product Code </t>
  </si>
  <si>
    <t>Margin</t>
  </si>
  <si>
    <t xml:space="preserve">Status </t>
  </si>
  <si>
    <t>LOSS RISK</t>
  </si>
  <si>
    <t>CRITICAL</t>
  </si>
  <si>
    <t>Tight Margin</t>
  </si>
  <si>
    <t>High Risk</t>
  </si>
  <si>
    <t>Quick Insights</t>
  </si>
  <si>
    <t>2 products are currently in Loss Risk. Immediate price review needed.</t>
  </si>
  <si>
    <t>12 out of 30 products (40%) have very low margins (&lt;5%).</t>
  </si>
  <si>
    <t>Shopee has the most aggressive pricing but also the highest risk due to 8% fees.</t>
  </si>
  <si>
    <t>Platform performance</t>
  </si>
  <si>
    <t>Margin %</t>
  </si>
  <si>
    <t>High</t>
  </si>
  <si>
    <t>Medium</t>
  </si>
  <si>
    <t xml:space="preserve">Quick Insights </t>
  </si>
  <si>
    <t>3 out of 6 products have tight margins after platform fees</t>
  </si>
  <si>
    <t>Website gives significantly better profitability</t>
  </si>
  <si>
    <t>Grand Total</t>
  </si>
  <si>
    <t>OK</t>
  </si>
  <si>
    <t>Low</t>
  </si>
  <si>
    <t>Average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</si>
</sst>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yy"/>
    <numFmt numFmtId="165" formatCode="0.0%"/>
  </numFmts>
  <fonts count="8">
    <font>
      <sz val="10"/>
      <color rgb="FF000000"/>
      <name val="Arial"/>
      <scheme val="minor"/>
    </font>
    <font>
      <sz val="10"/>
      <color rgb="FF000000"/>
      <name val="Sans-serif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&quot;Arial&quot;"/>
    </font>
    <font>
      <b/>
      <sz val="12"/>
      <color theme="1"/>
      <name val="Arial"/>
      <family val="2"/>
      <scheme val="minor"/>
    </font>
    <font>
      <b/>
      <sz val="12"/>
      <color rgb="FF000000"/>
      <name val="Sans-serif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2" fillId="0" borderId="0" xfId="0" applyFont="1"/>
    <xf numFmtId="10" fontId="2" fillId="0" borderId="0" xfId="0" applyNumberFormat="1" applyFont="1"/>
    <xf numFmtId="10" fontId="2" fillId="3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2" borderId="0" xfId="0" applyFont="1" applyFill="1"/>
    <xf numFmtId="0" fontId="3" fillId="0" borderId="0" xfId="0" applyFont="1" applyAlignment="1"/>
    <xf numFmtId="165" fontId="1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2" fillId="0" borderId="0" xfId="0" applyFont="1" applyAlignment="1"/>
    <xf numFmtId="0" fontId="4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10" fontId="1" fillId="0" borderId="0" xfId="0" applyNumberFormat="1" applyFont="1" applyAlignment="1"/>
    <xf numFmtId="165" fontId="0" fillId="0" borderId="0" xfId="0" applyNumberFormat="1" applyFont="1" applyAlignment="1"/>
    <xf numFmtId="0" fontId="0" fillId="0" borderId="0" xfId="0" applyFont="1" applyAlignment="1"/>
    <xf numFmtId="165" fontId="0" fillId="0" borderId="0" xfId="0" applyNumberFormat="1" applyFont="1" applyAlignment="1">
      <alignment horizontal="left"/>
    </xf>
    <xf numFmtId="0" fontId="5" fillId="5" borderId="0" xfId="0" applyFont="1" applyFill="1" applyAlignment="1"/>
    <xf numFmtId="0" fontId="6" fillId="5" borderId="0" xfId="0" applyFont="1" applyFill="1" applyAlignment="1"/>
    <xf numFmtId="0" fontId="0" fillId="5" borderId="0" xfId="0" applyFont="1" applyFill="1" applyAlignment="1"/>
    <xf numFmtId="165" fontId="0" fillId="6" borderId="0" xfId="0" applyNumberFormat="1" applyFont="1" applyFill="1" applyAlignment="1"/>
    <xf numFmtId="0" fontId="2" fillId="7" borderId="0" xfId="0" applyFont="1" applyFill="1"/>
    <xf numFmtId="0" fontId="2" fillId="0" borderId="0" xfId="0" applyFont="1" applyFill="1"/>
    <xf numFmtId="0" fontId="3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8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 Phone Pricing Update - Weekend Promo.xlsx]Dashboard!PivotTable8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Dashboard!$A$30:$A$34</c:f>
              <c:strCache>
                <c:ptCount val="4"/>
                <c:pt idx="0">
                  <c:v>Website</c:v>
                </c:pt>
                <c:pt idx="1">
                  <c:v>Lazada</c:v>
                </c:pt>
                <c:pt idx="2">
                  <c:v>Tiktok Shop</c:v>
                </c:pt>
                <c:pt idx="3">
                  <c:v>Shopee</c:v>
                </c:pt>
              </c:strCache>
            </c:strRef>
          </c:cat>
          <c:val>
            <c:numRef>
              <c:f>Dashboard!$B$30:$B$34</c:f>
              <c:numCache>
                <c:formatCode>0.0%</c:formatCode>
                <c:ptCount val="4"/>
                <c:pt idx="0">
                  <c:v>0.12745799453327755</c:v>
                </c:pt>
                <c:pt idx="1">
                  <c:v>7.9252043184431936E-2</c:v>
                </c:pt>
                <c:pt idx="2">
                  <c:v>3.8400536809749496E-2</c:v>
                </c:pt>
                <c:pt idx="3">
                  <c:v>3.6469309156111226E-2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A-44AB-87E3-729E6DCD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9108528"/>
        <c:axId val="856140544"/>
      </c:barChart>
      <c:catAx>
        <c:axId val="849108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40544"/>
        <c:crosses val="autoZero"/>
        <c:auto val="1"/>
        <c:lblAlgn val="ctr"/>
        <c:lblOffset val="100"/>
        <c:noMultiLvlLbl val="0"/>
      </c:catAx>
      <c:valAx>
        <c:axId val="8561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Avg margin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28</xdr:row>
      <xdr:rowOff>3810</xdr:rowOff>
    </xdr:from>
    <xdr:to>
      <xdr:col>5</xdr:col>
      <xdr:colOff>739140</xdr:colOff>
      <xdr:row>41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FB61F-8B63-4032-ABAE-E070006A0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RO 5" refreshedDate="46170.791963541669" createdVersion="7" refreshedVersion="7" minRefreshableVersion="3" recordCount="30" xr:uid="{935369D4-2EE8-4711-AD42-73522D6AD2D4}">
  <cacheSource type="worksheet">
    <worksheetSource ref="C1:N31" sheet="Working sheet"/>
  </cacheSource>
  <cacheFields count="12">
    <cacheField name="Current Price (RM)" numFmtId="0">
      <sharedItems containsSemiMixedTypes="0" containsString="0" containsNumber="1" containsInteger="1" minValue="1099" maxValue="6799"/>
    </cacheField>
    <cacheField name="Promo Price (RM)" numFmtId="0">
      <sharedItems containsSemiMixedTypes="0" containsString="0" containsNumber="1" containsInteger="1" minValue="999" maxValue="6499"/>
    </cacheField>
    <cacheField name="Competitor Price (RM)" numFmtId="0">
      <sharedItems containsSemiMixedTypes="0" containsString="0" containsNumber="1" containsInteger="1" minValue="1050" maxValue="6550"/>
    </cacheField>
    <cacheField name="Platform" numFmtId="0">
      <sharedItems count="4">
        <s v="Shopee"/>
        <s v="Lazada"/>
        <s v="Tiktok Shop"/>
        <s v="Website"/>
      </sharedItems>
    </cacheField>
    <cacheField name="Platform Fee (%)" numFmtId="0">
      <sharedItems containsSemiMixedTypes="0" containsString="0" containsNumber="1" containsInteger="1" minValue="0" maxValue="8"/>
    </cacheField>
    <cacheField name="Revenue After Fee (RM)" numFmtId="0">
      <sharedItems containsSemiMixedTypes="0" containsString="0" containsNumber="1" minValue="939.06" maxValue="6174.0499999999993"/>
    </cacheField>
    <cacheField name="Cost Price (RM)" numFmtId="0">
      <sharedItems containsSemiMixedTypes="0" containsString="0" containsNumber="1" containsInteger="1" minValue="850" maxValue="6150"/>
    </cacheField>
    <cacheField name="Profit (RM)" numFmtId="0">
      <sharedItems containsSemiMixedTypes="0" containsString="0" containsNumber="1" minValue="-66.920000000000073" maxValue="649"/>
    </cacheField>
    <cacheField name="Margin (%)" numFmtId="10">
      <sharedItems containsSemiMixedTypes="0" containsString="0" containsNumber="1" minValue="-1.3990984888398285E-2" maxValue="0.16611074049366245"/>
    </cacheField>
    <cacheField name="vs Competitor" numFmtId="0">
      <sharedItems containsSemiMixedTypes="0" containsString="0" containsNumber="1" containsInteger="1" minValue="-51" maxValue="99"/>
    </cacheField>
    <cacheField name="Status" numFmtId="0">
      <sharedItems/>
    </cacheField>
    <cacheField name="Risk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199"/>
    <n v="2099"/>
    <n v="2088"/>
    <x v="0"/>
    <n v="8"/>
    <n v="1931.0800000000002"/>
    <n v="1850"/>
    <n v="81.080000000000155"/>
    <n v="4.1986867452410127E-2"/>
    <n v="11"/>
    <s v="Tight Margin"/>
    <s v="Medium"/>
  </r>
  <r>
    <n v="1699"/>
    <n v="1599"/>
    <n v="1588"/>
    <x v="1"/>
    <n v="6"/>
    <n v="1503.06"/>
    <n v="1350"/>
    <n v="153.05999999999995"/>
    <n v="0.10183226218514228"/>
    <n v="11"/>
    <s v="OK"/>
    <s v="Low"/>
  </r>
  <r>
    <n v="3899"/>
    <n v="3699"/>
    <n v="3750"/>
    <x v="2"/>
    <n v="5"/>
    <n v="3514.0499999999997"/>
    <n v="3250"/>
    <n v="264.04999999999973"/>
    <n v="7.5141218821587558E-2"/>
    <n v="-51"/>
    <s v="Tight Margin"/>
    <s v="Low"/>
  </r>
  <r>
    <n v="2999"/>
    <n v="2799"/>
    <n v="2850"/>
    <x v="3"/>
    <n v="0"/>
    <n v="2799"/>
    <n v="2450"/>
    <n v="349"/>
    <n v="0.12468738835298321"/>
    <n v="-51"/>
    <s v="OK"/>
    <s v="Low"/>
  </r>
  <r>
    <n v="4599"/>
    <n v="4399"/>
    <n v="4300"/>
    <x v="0"/>
    <n v="8"/>
    <n v="4047.0800000000004"/>
    <n v="3950"/>
    <n v="97.080000000000382"/>
    <n v="2.3987665180821821E-2"/>
    <n v="99"/>
    <s v="Tight Margin"/>
    <s v="Medium"/>
  </r>
  <r>
    <n v="2399"/>
    <n v="2199"/>
    <n v="2250"/>
    <x v="1"/>
    <n v="6"/>
    <n v="2067.06"/>
    <n v="2000"/>
    <n v="67.059999999999945"/>
    <n v="3.2442212611148179E-2"/>
    <n v="-51"/>
    <s v="Tight Margin"/>
    <s v="Medium"/>
  </r>
  <r>
    <n v="1399"/>
    <n v="1299"/>
    <n v="1250"/>
    <x v="0"/>
    <n v="8"/>
    <n v="1195.0800000000002"/>
    <n v="1150"/>
    <n v="45.080000000000155"/>
    <n v="3.772132409545817E-2"/>
    <n v="49"/>
    <s v="Tight Margin"/>
    <s v="Medium"/>
  </r>
  <r>
    <n v="3299"/>
    <n v="3099"/>
    <n v="3150"/>
    <x v="2"/>
    <n v="5"/>
    <n v="2944.0499999999997"/>
    <n v="2750"/>
    <n v="194.04999999999973"/>
    <n v="6.5912603386491311E-2"/>
    <n v="-51"/>
    <s v="Tight Margin"/>
    <s v="Low"/>
  </r>
  <r>
    <n v="2499"/>
    <n v="2299"/>
    <n v="2350"/>
    <x v="1"/>
    <n v="6"/>
    <n v="2161.06"/>
    <n v="2050"/>
    <n v="111.05999999999995"/>
    <n v="5.1391446790001176E-2"/>
    <n v="-51"/>
    <s v="Tight Margin"/>
    <s v="Low"/>
  </r>
  <r>
    <n v="5299"/>
    <n v="4999"/>
    <n v="5050"/>
    <x v="3"/>
    <n v="0"/>
    <n v="4999"/>
    <n v="4450"/>
    <n v="549"/>
    <n v="0.10982196439287857"/>
    <n v="-51"/>
    <s v="OK"/>
    <s v="Low"/>
  </r>
  <r>
    <n v="5399"/>
    <n v="5099"/>
    <n v="5150"/>
    <x v="0"/>
    <n v="8"/>
    <n v="4691.08"/>
    <n v="4750"/>
    <n v="-58.920000000000073"/>
    <n v="-1.2560007503602597E-2"/>
    <n v="-51"/>
    <s v="LOSS RISK"/>
    <s v="CRITICAL"/>
  </r>
  <r>
    <n v="1899"/>
    <n v="1799"/>
    <n v="1750"/>
    <x v="1"/>
    <n v="6"/>
    <n v="1691.06"/>
    <n v="1550"/>
    <n v="141.05999999999995"/>
    <n v="8.3415136068501386E-2"/>
    <n v="49"/>
    <s v="OK"/>
    <s v="Low"/>
  </r>
  <r>
    <n v="4299"/>
    <n v="4099"/>
    <n v="4150"/>
    <x v="2"/>
    <n v="5"/>
    <n v="3894.0499999999997"/>
    <n v="3650"/>
    <n v="244.04999999999973"/>
    <n v="6.2672538873409372E-2"/>
    <n v="-51"/>
    <s v="Tight Margin"/>
    <s v="Low"/>
  </r>
  <r>
    <n v="4899"/>
    <n v="4599"/>
    <n v="4650"/>
    <x v="3"/>
    <n v="0"/>
    <n v="4599"/>
    <n v="3950"/>
    <n v="649"/>
    <n v="0.14111763426831919"/>
    <n v="-51"/>
    <s v="OK"/>
    <s v="Low"/>
  </r>
  <r>
    <n v="4899"/>
    <n v="4699"/>
    <n v="4750"/>
    <x v="0"/>
    <n v="8"/>
    <n v="4323.08"/>
    <n v="4250"/>
    <n v="73.079999999999927"/>
    <n v="1.6904614302765603E-2"/>
    <n v="-51"/>
    <s v="Tight Margin"/>
    <s v="High Risk"/>
  </r>
  <r>
    <n v="1299"/>
    <n v="1199"/>
    <n v="1150"/>
    <x v="1"/>
    <n v="6"/>
    <n v="1127.06"/>
    <n v="950"/>
    <n v="177.05999999999995"/>
    <n v="0.15709900094050003"/>
    <n v="49"/>
    <s v="OK"/>
    <s v="Low"/>
  </r>
  <r>
    <n v="6299"/>
    <n v="5999"/>
    <n v="6050"/>
    <x v="2"/>
    <n v="5"/>
    <n v="5699.05"/>
    <n v="5650"/>
    <n v="49.050000000000182"/>
    <n v="8.606697607496017E-3"/>
    <n v="-51"/>
    <s v="Tight Margin"/>
    <s v="High Risk"/>
  </r>
  <r>
    <n v="3299"/>
    <n v="3099"/>
    <n v="3120"/>
    <x v="0"/>
    <n v="8"/>
    <n v="2851.08"/>
    <n v="2650"/>
    <n v="201.07999999999993"/>
    <n v="7.052765969387037E-2"/>
    <n v="-21"/>
    <s v="Tight Margin"/>
    <s v="Low"/>
  </r>
  <r>
    <n v="2999"/>
    <n v="2799"/>
    <n v="2850"/>
    <x v="1"/>
    <n v="6"/>
    <n v="2631.06"/>
    <n v="2550"/>
    <n v="81.059999999999945"/>
    <n v="3.0808875510250602E-2"/>
    <n v="-51"/>
    <s v="Tight Margin"/>
    <s v="Medium"/>
  </r>
  <r>
    <n v="1599"/>
    <n v="1499"/>
    <n v="1480"/>
    <x v="3"/>
    <n v="0"/>
    <n v="1499"/>
    <n v="1250"/>
    <n v="249"/>
    <n v="0.16611074049366245"/>
    <n v="19"/>
    <s v="OK"/>
    <s v="Low"/>
  </r>
  <r>
    <n v="5499"/>
    <n v="5199"/>
    <n v="5250"/>
    <x v="0"/>
    <n v="8"/>
    <n v="4783.08"/>
    <n v="4850"/>
    <n v="-66.920000000000073"/>
    <n v="-1.3990984888398285E-2"/>
    <n v="-51"/>
    <s v="LOSS RISK"/>
    <s v="CRITICAL"/>
  </r>
  <r>
    <n v="2699"/>
    <n v="2499"/>
    <n v="2550"/>
    <x v="1"/>
    <n v="6"/>
    <n v="2349.06"/>
    <n v="2150"/>
    <n v="199.05999999999995"/>
    <n v="8.4740279090359527E-2"/>
    <n v="-51"/>
    <s v="OK"/>
    <s v="Low"/>
  </r>
  <r>
    <n v="5799"/>
    <n v="5499"/>
    <n v="5550"/>
    <x v="2"/>
    <n v="5"/>
    <n v="5224.05"/>
    <n v="5150"/>
    <n v="74.050000000000182"/>
    <n v="1.4174826044926862E-2"/>
    <n v="-51"/>
    <s v="Tight Margin"/>
    <s v="High Risk"/>
  </r>
  <r>
    <n v="1699"/>
    <n v="1599"/>
    <n v="1580"/>
    <x v="0"/>
    <n v="8"/>
    <n v="1471.0800000000002"/>
    <n v="1350"/>
    <n v="121.08000000000015"/>
    <n v="8.2306876580471589E-2"/>
    <n v="19"/>
    <s v="OK"/>
    <s v="Low"/>
  </r>
  <r>
    <n v="3599"/>
    <n v="3399"/>
    <n v="3450"/>
    <x v="1"/>
    <n v="6"/>
    <n v="3195.06"/>
    <n v="2950"/>
    <n v="245.05999999999995"/>
    <n v="7.6699655092549113E-2"/>
    <n v="-51"/>
    <s v="Tight Margin"/>
    <s v="Low"/>
  </r>
  <r>
    <n v="4999"/>
    <n v="4699"/>
    <n v="4750"/>
    <x v="3"/>
    <n v="0"/>
    <n v="4699"/>
    <n v="4250"/>
    <n v="449"/>
    <n v="9.5552245158544366E-2"/>
    <n v="-51"/>
    <s v="OK"/>
    <s v="Low"/>
  </r>
  <r>
    <n v="5299"/>
    <n v="5099"/>
    <n v="5150"/>
    <x v="0"/>
    <n v="8"/>
    <n v="4691.08"/>
    <n v="4650"/>
    <n v="41.079999999999927"/>
    <n v="8.7570452859469308E-3"/>
    <n v="-51"/>
    <s v="Tight Margin"/>
    <s v="High Risk"/>
  </r>
  <r>
    <n v="1099"/>
    <n v="999"/>
    <n v="1050"/>
    <x v="1"/>
    <n v="6"/>
    <n v="939.06"/>
    <n v="850"/>
    <n v="89.059999999999945"/>
    <n v="9.4839520371435213E-2"/>
    <n v="-51"/>
    <s v="OK"/>
    <s v="Low"/>
  </r>
  <r>
    <n v="6799"/>
    <n v="6499"/>
    <n v="6550"/>
    <x v="2"/>
    <n v="5"/>
    <n v="6174.0499999999993"/>
    <n v="6150"/>
    <n v="24.049999999999272"/>
    <n v="3.8953361245858513E-3"/>
    <n v="-51"/>
    <s v="Tight Margin"/>
    <s v="High Risk"/>
  </r>
  <r>
    <n v="3799"/>
    <n v="3599"/>
    <n v="3650"/>
    <x v="0"/>
    <n v="8"/>
    <n v="3311.08"/>
    <n v="2950"/>
    <n v="361.07999999999993"/>
    <n v="0.10905203136136847"/>
    <n v="-51"/>
    <s v="OK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FED16-BC10-420F-A199-BEE21BAAB44D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latform">
  <location ref="A29:B34" firstHeaderRow="1" firstDataRow="1" firstDataCol="1"/>
  <pivotFields count="12"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Margin (%)" fld="8" subtotal="average" baseField="3" baseItem="3" numFmtId="165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field="3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9DC72-9CA1-4F4A-925B-CEB55C81FF34}" name="Table1" displayName="Table1" ref="A1:N31" totalsRowShown="0">
  <autoFilter ref="A1:N31" xr:uid="{4329DC72-9CA1-4F4A-925B-CEB55C81FF34}"/>
  <tableColumns count="14">
    <tableColumn id="1" xr3:uid="{AD2EDC1C-3448-4D93-90FE-6A020B6E63BF}" name="Product Code"/>
    <tableColumn id="2" xr3:uid="{4F599C0B-F567-40AF-A7B5-C8565F8B816C}" name="Product"/>
    <tableColumn id="3" xr3:uid="{AD759333-FAE5-43BF-B756-AADAA98E9A25}" name="Current Price (RM)"/>
    <tableColumn id="4" xr3:uid="{6DDD3288-6A11-4E31-BE5A-F6236C1DD67A}" name="Promo Price (RM)"/>
    <tableColumn id="5" xr3:uid="{BDD7F396-5E44-4B21-B38C-89334E3A457C}" name="Competitor Price (RM)"/>
    <tableColumn id="6" xr3:uid="{4FE04C34-49B0-4376-8D5E-0DF4CA27BE88}" name="Platform"/>
    <tableColumn id="7" xr3:uid="{7723D544-FA99-4AAA-B1A1-50E8ECF41F2B}" name="Platform Fee (%)"/>
    <tableColumn id="8" xr3:uid="{A302527C-EA6C-46E0-AD4C-1E73719F8431}" name="Revenue After Fee (RM)"/>
    <tableColumn id="9" xr3:uid="{2A2E3799-79DA-4C82-9971-C28C68836F08}" name="Cost Price (RM)"/>
    <tableColumn id="10" xr3:uid="{A141F3E1-4DE7-4EC4-A633-DBB8417E47E9}" name="Profit (RM)"/>
    <tableColumn id="11" xr3:uid="{1A899723-9CA7-497A-B973-763EF4F9B6F3}" name="Margin (%)"/>
    <tableColumn id="12" xr3:uid="{F7B75D5E-0123-465C-B833-429D5E2AA3C9}" name="vs Competitor"/>
    <tableColumn id="13" xr3:uid="{FD709C20-5F1E-4271-84F9-E52945BCADD0}" name="Status"/>
    <tableColumn id="14" xr3:uid="{3FCF4115-CAAB-4497-A4BC-F9D95AB32225}" name="Risk 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FA7E23-DD9D-4346-A272-B56242713553}" name="Table2" displayName="Table2" ref="A1:N31" totalsRowShown="0">
  <autoFilter ref="A1:N31" xr:uid="{FBFA7E23-DD9D-4346-A272-B56242713553}"/>
  <tableColumns count="14">
    <tableColumn id="1" xr3:uid="{DB3153C5-404E-400B-B467-6D021738970A}" name="Product Code"/>
    <tableColumn id="2" xr3:uid="{C841A77D-3281-418D-93C0-680AE872567C}" name="Product"/>
    <tableColumn id="3" xr3:uid="{DD5BF04D-A652-49E6-8980-8CA083EA2FB1}" name="Current Price (RM)"/>
    <tableColumn id="4" xr3:uid="{5D56A1BC-0DFE-48AA-ACA0-69A06FE1B3FA}" name="Promo Price (RM)"/>
    <tableColumn id="5" xr3:uid="{B965EAAA-83EE-4757-9102-58EE18409873}" name="Competitor Price (RM)"/>
    <tableColumn id="6" xr3:uid="{C5CB963C-B82D-4B43-8FB0-6933AAC76DA0}" name="Platform"/>
    <tableColumn id="7" xr3:uid="{CB852BFF-C58A-442F-A4C9-413C24E5CF23}" name="Platform Fee (%)"/>
    <tableColumn id="8" xr3:uid="{39D28DDA-E701-4BF8-862B-0312CAA6338B}" name="Revenue After Fee (RM)"/>
    <tableColumn id="9" xr3:uid="{7E9E4DD4-CA1B-436F-93C3-57D64B2DC937}" name="Cost Price (RM)"/>
    <tableColumn id="10" xr3:uid="{B89B54A4-DE5B-46FE-ABE9-ABE56526EF29}" name="Profit (RM)"/>
    <tableColumn id="11" xr3:uid="{27F5B4DE-031F-4E23-9D65-A571BD0DFBC1}" name="Margin (%)"/>
    <tableColumn id="12" xr3:uid="{2ABC2F3D-ADAF-4C4D-8A34-71F749755F97}" name="vs Competitor"/>
    <tableColumn id="13" xr3:uid="{9596AAD8-F37D-45F3-AE1B-E5801A2D7762}" name="Status"/>
    <tableColumn id="14" xr3:uid="{6E889BF3-3249-4F2F-A690-E287B4C45369}" name="Risk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835EC1-307F-43F4-96CF-8423F15DF2F2}" name="Table3" displayName="Table3" ref="A1:N31" totalsRowShown="0">
  <autoFilter ref="A1:N31" xr:uid="{E4835EC1-307F-43F4-96CF-8423F15DF2F2}"/>
  <tableColumns count="14">
    <tableColumn id="1" xr3:uid="{68384F37-CD75-41F1-8520-B438842CC381}" name="Product Code"/>
    <tableColumn id="2" xr3:uid="{6F6B2676-6B07-4FEC-8530-50A9DD3DD55E}" name="Product"/>
    <tableColumn id="3" xr3:uid="{223E189A-E182-4F33-83AC-C2BCA7D55FF9}" name="Current Price (RM)"/>
    <tableColumn id="4" xr3:uid="{DFDE462B-341B-4E90-9017-88D05FD6E84F}" name="Promo Price (RM)"/>
    <tableColumn id="5" xr3:uid="{6B1CF53F-E9E9-45E7-BD3F-6F99DAF09CA4}" name="Competitor Price (RM)"/>
    <tableColumn id="6" xr3:uid="{9347CF4B-8A57-4CDF-9C68-44A07E1AA37B}" name="Platform"/>
    <tableColumn id="7" xr3:uid="{21D582BB-9B0B-474E-8743-C660B7562503}" name="Platform Fee (%)"/>
    <tableColumn id="8" xr3:uid="{F2F0DF9B-E17E-4280-ADE8-1AB25B8A9367}" name="Revenue After Fee (RM)"/>
    <tableColumn id="9" xr3:uid="{CCF9F2F0-88E4-4A08-8842-940D667AFCE2}" name="Cost Price (RM)"/>
    <tableColumn id="10" xr3:uid="{6BEE142D-E761-4AA1-B95E-7C47BE0C287E}" name="Profit (RM)"/>
    <tableColumn id="11" xr3:uid="{484525D5-FA0C-4A7C-9A42-DC5BC0870FA8}" name="Margin (%)"/>
    <tableColumn id="12" xr3:uid="{011764F1-7257-4415-B9B4-C28FC49A9DB7}" name="vs Competitor"/>
    <tableColumn id="13" xr3:uid="{54CD292C-410F-4D1D-A4E1-949EDD7913C0}" name="Status"/>
    <tableColumn id="14" xr3:uid="{CFC1C26F-201D-4599-977A-BBA79BF94553}" name="Risk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39BBD1-7900-4F1A-BFD8-5861F56E68E9}" name="Table4" displayName="Table4" ref="A1:N19" totalsRowShown="0">
  <autoFilter ref="A1:N19" xr:uid="{A539BBD1-7900-4F1A-BFD8-5861F56E68E9}"/>
  <tableColumns count="14">
    <tableColumn id="1" xr3:uid="{94E4704A-5BA9-4966-B000-10755B26261C}" name="Product Code"/>
    <tableColumn id="2" xr3:uid="{C578AE5F-0FDE-4776-8813-2E4999A6EC05}" name="Product"/>
    <tableColumn id="3" xr3:uid="{1B581933-8006-42F0-952A-0D12FAE270D0}" name="Current Price (RM)"/>
    <tableColumn id="4" xr3:uid="{989A5E87-090B-445F-A8EB-330E981372C1}" name="Promo Price (RM)"/>
    <tableColumn id="5" xr3:uid="{60EB4824-8BA7-4169-AD73-3AAD0112BD98}" name="Competitor Price (RM)"/>
    <tableColumn id="6" xr3:uid="{05B36115-CFCA-4F3C-9817-DF9C6569EC47}" name="Platform"/>
    <tableColumn id="7" xr3:uid="{964264B7-F65D-4493-85F6-B3A36155E68C}" name="Platform Fee (%)"/>
    <tableColumn id="8" xr3:uid="{7837864B-F673-4848-86DD-5E6D98A18C5C}" name="Revenue After Fee (RM)"/>
    <tableColumn id="9" xr3:uid="{54B766E9-6C43-4A03-A358-63E1C45D75FE}" name="Cost Price (RM)"/>
    <tableColumn id="10" xr3:uid="{9D3CCEE1-539C-4186-841E-A6991D2DB452}" name="Profit (RM)"/>
    <tableColumn id="11" xr3:uid="{10B7DFDD-BAEB-44C9-802E-18D386B75F68}" name="Margin (%)"/>
    <tableColumn id="12" xr3:uid="{345D4CD8-2E1E-4B7C-BC17-1826FE80432B}" name="vs Competitor"/>
    <tableColumn id="13" xr3:uid="{1D365721-142E-4BF4-8093-D7B8D4A19B96}" name="Status"/>
    <tableColumn id="14" xr3:uid="{4BBB8CC1-5D41-49D9-866A-051F5D539558}" name="Risk 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"/>
  <sheetViews>
    <sheetView zoomScaleNormal="100" workbookViewId="0">
      <selection activeCell="G1" sqref="G1"/>
    </sheetView>
  </sheetViews>
  <sheetFormatPr defaultColWidth="12.6640625" defaultRowHeight="15.75" customHeight="1"/>
  <cols>
    <col min="1" max="1" width="13.6640625" customWidth="1"/>
    <col min="2" max="2" width="24.44140625" customWidth="1"/>
    <col min="3" max="3" width="14.44140625" customWidth="1"/>
    <col min="4" max="4" width="14.21875" customWidth="1"/>
    <col min="5" max="5" width="15.44140625" customWidth="1"/>
    <col min="6" max="6" width="15" customWidth="1"/>
    <col min="7" max="7" width="17.6640625" customWidth="1"/>
    <col min="8" max="8" width="15.66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2">
        <v>1850</v>
      </c>
      <c r="F2" s="1">
        <v>2199</v>
      </c>
      <c r="G2" s="1">
        <v>2099</v>
      </c>
      <c r="H2" s="1">
        <v>2088</v>
      </c>
      <c r="I2" s="1" t="s">
        <v>15</v>
      </c>
      <c r="J2" s="1">
        <v>8</v>
      </c>
      <c r="K2" s="4">
        <v>46162</v>
      </c>
    </row>
    <row r="3" spans="1:11">
      <c r="A3" s="5" t="s">
        <v>16</v>
      </c>
      <c r="B3" s="5" t="s">
        <v>17</v>
      </c>
      <c r="C3" s="5" t="s">
        <v>18</v>
      </c>
      <c r="D3" s="5" t="s">
        <v>19</v>
      </c>
      <c r="E3" s="1">
        <v>1350</v>
      </c>
      <c r="F3" s="1">
        <v>1699</v>
      </c>
      <c r="G3" s="1">
        <v>1599</v>
      </c>
      <c r="H3" s="1">
        <v>1588</v>
      </c>
      <c r="I3" s="1" t="s">
        <v>20</v>
      </c>
      <c r="J3" s="1">
        <v>6</v>
      </c>
      <c r="K3" s="6">
        <v>46164</v>
      </c>
    </row>
    <row r="4" spans="1:11">
      <c r="A4" s="5" t="s">
        <v>21</v>
      </c>
      <c r="B4" s="5" t="s">
        <v>22</v>
      </c>
      <c r="C4" s="5" t="s">
        <v>13</v>
      </c>
      <c r="D4" s="5" t="s">
        <v>14</v>
      </c>
      <c r="E4" s="1">
        <v>3250</v>
      </c>
      <c r="F4" s="1">
        <v>3899</v>
      </c>
      <c r="G4" s="1">
        <v>3699</v>
      </c>
      <c r="H4" s="1">
        <v>3750</v>
      </c>
      <c r="I4" s="2" t="s">
        <v>23</v>
      </c>
      <c r="J4" s="2">
        <v>5</v>
      </c>
      <c r="K4" s="6">
        <v>46162</v>
      </c>
    </row>
    <row r="5" spans="1:11">
      <c r="A5" s="5" t="s">
        <v>24</v>
      </c>
      <c r="B5" s="5" t="s">
        <v>25</v>
      </c>
      <c r="C5" s="5" t="s">
        <v>18</v>
      </c>
      <c r="D5" s="5" t="s">
        <v>19</v>
      </c>
      <c r="E5" s="1">
        <v>2450</v>
      </c>
      <c r="F5" s="1">
        <v>2999</v>
      </c>
      <c r="G5" s="1">
        <v>2799</v>
      </c>
      <c r="H5" s="1">
        <v>2850</v>
      </c>
      <c r="I5" s="2" t="s">
        <v>26</v>
      </c>
      <c r="J5" s="2">
        <v>0</v>
      </c>
      <c r="K5" s="6">
        <v>46163</v>
      </c>
    </row>
    <row r="6" spans="1:11">
      <c r="A6" s="5" t="s">
        <v>27</v>
      </c>
      <c r="B6" s="5" t="s">
        <v>28</v>
      </c>
      <c r="C6" s="5" t="s">
        <v>13</v>
      </c>
      <c r="D6" s="5" t="s">
        <v>14</v>
      </c>
      <c r="E6" s="1">
        <v>3950</v>
      </c>
      <c r="F6" s="1">
        <v>4599</v>
      </c>
      <c r="G6" s="1">
        <v>4399</v>
      </c>
      <c r="H6" s="1">
        <v>4300</v>
      </c>
      <c r="I6" s="2" t="s">
        <v>15</v>
      </c>
      <c r="J6" s="2">
        <v>8</v>
      </c>
      <c r="K6" s="6">
        <v>46162</v>
      </c>
    </row>
    <row r="7" spans="1:11">
      <c r="A7" s="5" t="s">
        <v>29</v>
      </c>
      <c r="B7" s="5" t="s">
        <v>30</v>
      </c>
      <c r="C7" s="5" t="s">
        <v>13</v>
      </c>
      <c r="D7" s="5" t="s">
        <v>14</v>
      </c>
      <c r="E7" s="1">
        <v>2000</v>
      </c>
      <c r="F7" s="1">
        <v>2399</v>
      </c>
      <c r="G7" s="1">
        <v>2199</v>
      </c>
      <c r="H7" s="1">
        <v>2250</v>
      </c>
      <c r="I7" s="2" t="s">
        <v>20</v>
      </c>
      <c r="J7" s="2">
        <v>6</v>
      </c>
      <c r="K7" s="6">
        <v>46162</v>
      </c>
    </row>
    <row r="8" spans="1:11">
      <c r="A8" s="5" t="s">
        <v>31</v>
      </c>
      <c r="B8" s="5" t="s">
        <v>32</v>
      </c>
      <c r="C8" s="5" t="s">
        <v>18</v>
      </c>
      <c r="D8" s="5" t="s">
        <v>19</v>
      </c>
      <c r="E8" s="1">
        <v>1150</v>
      </c>
      <c r="F8" s="1">
        <v>1399</v>
      </c>
      <c r="G8" s="1">
        <v>1299</v>
      </c>
      <c r="H8" s="1">
        <v>1250</v>
      </c>
      <c r="I8" s="2" t="s">
        <v>15</v>
      </c>
      <c r="J8" s="2">
        <v>8</v>
      </c>
      <c r="K8" s="6">
        <v>46164</v>
      </c>
    </row>
    <row r="9" spans="1:11">
      <c r="A9" s="5" t="s">
        <v>33</v>
      </c>
      <c r="B9" s="5" t="s">
        <v>34</v>
      </c>
      <c r="C9" s="5" t="s">
        <v>13</v>
      </c>
      <c r="D9" s="5" t="s">
        <v>14</v>
      </c>
      <c r="E9" s="1">
        <v>2750</v>
      </c>
      <c r="F9" s="1">
        <v>3299</v>
      </c>
      <c r="G9" s="1">
        <v>3099</v>
      </c>
      <c r="H9" s="1">
        <v>3150</v>
      </c>
      <c r="I9" s="2" t="s">
        <v>23</v>
      </c>
      <c r="J9" s="2">
        <v>5</v>
      </c>
      <c r="K9" s="6">
        <v>46162</v>
      </c>
    </row>
    <row r="10" spans="1:11">
      <c r="A10" s="5" t="s">
        <v>35</v>
      </c>
      <c r="B10" s="7" t="s">
        <v>36</v>
      </c>
      <c r="C10" s="5" t="s">
        <v>18</v>
      </c>
      <c r="D10" s="5" t="s">
        <v>19</v>
      </c>
      <c r="E10" s="1">
        <v>2050</v>
      </c>
      <c r="F10" s="1">
        <v>2499</v>
      </c>
      <c r="G10" s="1">
        <v>2299</v>
      </c>
      <c r="H10" s="1">
        <v>2350</v>
      </c>
      <c r="I10" s="2" t="s">
        <v>20</v>
      </c>
      <c r="J10" s="2">
        <v>6</v>
      </c>
      <c r="K10" s="6">
        <v>46163</v>
      </c>
    </row>
    <row r="11" spans="1:11">
      <c r="A11" s="5" t="s">
        <v>37</v>
      </c>
      <c r="B11" s="5" t="s">
        <v>38</v>
      </c>
      <c r="C11" s="5" t="s">
        <v>13</v>
      </c>
      <c r="D11" s="5" t="s">
        <v>14</v>
      </c>
      <c r="E11" s="1">
        <v>4450</v>
      </c>
      <c r="F11" s="1">
        <v>5299</v>
      </c>
      <c r="G11" s="1">
        <v>4999</v>
      </c>
      <c r="H11" s="1">
        <v>5050</v>
      </c>
      <c r="I11" s="2" t="s">
        <v>26</v>
      </c>
      <c r="J11" s="2">
        <v>0</v>
      </c>
      <c r="K11" s="6">
        <v>46162</v>
      </c>
    </row>
    <row r="12" spans="1:11">
      <c r="A12" s="8" t="s">
        <v>39</v>
      </c>
      <c r="B12" s="8" t="s">
        <v>40</v>
      </c>
      <c r="C12" s="8" t="s">
        <v>13</v>
      </c>
      <c r="D12" s="8" t="s">
        <v>14</v>
      </c>
      <c r="E12" s="9">
        <v>4750</v>
      </c>
      <c r="F12" s="9">
        <v>5399</v>
      </c>
      <c r="G12" s="9">
        <v>5099</v>
      </c>
      <c r="H12" s="9">
        <v>5150</v>
      </c>
      <c r="I12" s="9" t="s">
        <v>15</v>
      </c>
      <c r="J12" s="9">
        <v>8</v>
      </c>
      <c r="K12" s="6">
        <v>46162</v>
      </c>
    </row>
    <row r="13" spans="1:11">
      <c r="A13" s="8" t="s">
        <v>41</v>
      </c>
      <c r="B13" s="8" t="s">
        <v>42</v>
      </c>
      <c r="C13" s="8" t="s">
        <v>18</v>
      </c>
      <c r="D13" s="8" t="s">
        <v>19</v>
      </c>
      <c r="E13" s="9">
        <v>1550</v>
      </c>
      <c r="F13" s="9">
        <v>1899</v>
      </c>
      <c r="G13" s="9">
        <v>1799</v>
      </c>
      <c r="H13" s="9">
        <v>1750</v>
      </c>
      <c r="I13" s="9" t="s">
        <v>20</v>
      </c>
      <c r="J13" s="9">
        <v>6</v>
      </c>
      <c r="K13" s="6">
        <v>46163</v>
      </c>
    </row>
    <row r="14" spans="1:11">
      <c r="A14" s="8" t="s">
        <v>43</v>
      </c>
      <c r="B14" s="8" t="s">
        <v>44</v>
      </c>
      <c r="C14" s="8" t="s">
        <v>13</v>
      </c>
      <c r="D14" s="8" t="s">
        <v>14</v>
      </c>
      <c r="E14" s="9">
        <v>3650</v>
      </c>
      <c r="F14" s="9">
        <v>4299</v>
      </c>
      <c r="G14" s="9">
        <v>4099</v>
      </c>
      <c r="H14" s="9">
        <v>4150</v>
      </c>
      <c r="I14" s="9" t="s">
        <v>45</v>
      </c>
      <c r="J14" s="9">
        <v>5</v>
      </c>
      <c r="K14" s="6">
        <v>46162</v>
      </c>
    </row>
    <row r="15" spans="1:11">
      <c r="A15" s="8" t="s">
        <v>46</v>
      </c>
      <c r="B15" s="8" t="s">
        <v>47</v>
      </c>
      <c r="C15" s="8" t="s">
        <v>18</v>
      </c>
      <c r="D15" s="8" t="s">
        <v>19</v>
      </c>
      <c r="E15" s="9">
        <v>3950</v>
      </c>
      <c r="F15" s="9">
        <v>4899</v>
      </c>
      <c r="G15" s="9">
        <v>4599</v>
      </c>
      <c r="H15" s="9">
        <v>4650</v>
      </c>
      <c r="I15" s="9" t="s">
        <v>26</v>
      </c>
      <c r="J15" s="9">
        <v>0</v>
      </c>
      <c r="K15" s="6">
        <v>46162</v>
      </c>
    </row>
    <row r="16" spans="1:11">
      <c r="A16" s="8" t="s">
        <v>48</v>
      </c>
      <c r="B16" s="8" t="s">
        <v>49</v>
      </c>
      <c r="C16" s="8" t="s">
        <v>13</v>
      </c>
      <c r="D16" s="8" t="s">
        <v>14</v>
      </c>
      <c r="E16" s="9">
        <v>4250</v>
      </c>
      <c r="F16" s="9">
        <v>4899</v>
      </c>
      <c r="G16" s="9">
        <v>4699</v>
      </c>
      <c r="H16" s="9">
        <v>4750</v>
      </c>
      <c r="I16" s="9" t="s">
        <v>15</v>
      </c>
      <c r="J16" s="9">
        <v>8</v>
      </c>
      <c r="K16" s="6">
        <v>46164</v>
      </c>
    </row>
    <row r="17" spans="1:11">
      <c r="A17" s="8" t="s">
        <v>50</v>
      </c>
      <c r="B17" s="8" t="s">
        <v>51</v>
      </c>
      <c r="C17" s="8" t="s">
        <v>18</v>
      </c>
      <c r="D17" s="8" t="s">
        <v>19</v>
      </c>
      <c r="E17" s="9">
        <v>950</v>
      </c>
      <c r="F17" s="9">
        <v>1299</v>
      </c>
      <c r="G17" s="9">
        <v>1199</v>
      </c>
      <c r="H17" s="9">
        <v>1150</v>
      </c>
      <c r="I17" s="9" t="s">
        <v>20</v>
      </c>
      <c r="J17" s="9">
        <v>6</v>
      </c>
      <c r="K17" s="6">
        <v>46162</v>
      </c>
    </row>
    <row r="18" spans="1:11">
      <c r="A18" s="8" t="s">
        <v>52</v>
      </c>
      <c r="B18" s="8" t="s">
        <v>53</v>
      </c>
      <c r="C18" s="8" t="s">
        <v>13</v>
      </c>
      <c r="D18" s="8" t="s">
        <v>14</v>
      </c>
      <c r="E18" s="9">
        <v>5650</v>
      </c>
      <c r="F18" s="9">
        <v>6299</v>
      </c>
      <c r="G18" s="9">
        <v>5999</v>
      </c>
      <c r="H18" s="9">
        <v>6050</v>
      </c>
      <c r="I18" s="9" t="s">
        <v>45</v>
      </c>
      <c r="J18" s="9">
        <v>5</v>
      </c>
      <c r="K18" s="6">
        <v>46163</v>
      </c>
    </row>
    <row r="19" spans="1:11">
      <c r="A19" s="8" t="s">
        <v>54</v>
      </c>
      <c r="B19" s="8" t="s">
        <v>55</v>
      </c>
      <c r="C19" s="8" t="s">
        <v>18</v>
      </c>
      <c r="D19" s="8" t="s">
        <v>19</v>
      </c>
      <c r="E19" s="9">
        <v>2650</v>
      </c>
      <c r="F19" s="9">
        <v>3299</v>
      </c>
      <c r="G19" s="9">
        <v>3099</v>
      </c>
      <c r="H19" s="9">
        <v>3120</v>
      </c>
      <c r="I19" s="9" t="s">
        <v>15</v>
      </c>
      <c r="J19" s="9">
        <v>8</v>
      </c>
      <c r="K19" s="6">
        <v>46162</v>
      </c>
    </row>
    <row r="20" spans="1:11">
      <c r="A20" s="8" t="s">
        <v>56</v>
      </c>
      <c r="B20" s="8" t="s">
        <v>57</v>
      </c>
      <c r="C20" s="8" t="s">
        <v>13</v>
      </c>
      <c r="D20" s="8" t="s">
        <v>14</v>
      </c>
      <c r="E20" s="9">
        <v>2550</v>
      </c>
      <c r="F20" s="9">
        <v>2999</v>
      </c>
      <c r="G20" s="9">
        <v>2799</v>
      </c>
      <c r="H20" s="9">
        <v>2850</v>
      </c>
      <c r="I20" s="9" t="s">
        <v>20</v>
      </c>
      <c r="J20" s="9">
        <v>6</v>
      </c>
      <c r="K20" s="6">
        <v>46162</v>
      </c>
    </row>
    <row r="21" spans="1:11">
      <c r="A21" s="8" t="s">
        <v>58</v>
      </c>
      <c r="B21" s="8" t="s">
        <v>59</v>
      </c>
      <c r="C21" s="8" t="s">
        <v>18</v>
      </c>
      <c r="D21" s="8" t="s">
        <v>19</v>
      </c>
      <c r="E21" s="9">
        <v>1250</v>
      </c>
      <c r="F21" s="9">
        <v>1599</v>
      </c>
      <c r="G21" s="9">
        <v>1499</v>
      </c>
      <c r="H21" s="9">
        <v>1480</v>
      </c>
      <c r="I21" s="9" t="s">
        <v>26</v>
      </c>
      <c r="J21" s="9">
        <v>0</v>
      </c>
      <c r="K21" s="6">
        <v>46163</v>
      </c>
    </row>
    <row r="22" spans="1:11">
      <c r="A22" s="8" t="s">
        <v>60</v>
      </c>
      <c r="B22" s="8" t="s">
        <v>61</v>
      </c>
      <c r="C22" s="8" t="s">
        <v>13</v>
      </c>
      <c r="D22" s="8" t="s">
        <v>14</v>
      </c>
      <c r="E22" s="9">
        <v>4850</v>
      </c>
      <c r="F22" s="9">
        <v>5499</v>
      </c>
      <c r="G22" s="9">
        <v>5199</v>
      </c>
      <c r="H22" s="9">
        <v>5250</v>
      </c>
      <c r="I22" s="9" t="s">
        <v>15</v>
      </c>
      <c r="J22" s="9">
        <v>8</v>
      </c>
      <c r="K22" s="6">
        <v>46162</v>
      </c>
    </row>
    <row r="23" spans="1:11">
      <c r="A23" s="8" t="s">
        <v>62</v>
      </c>
      <c r="B23" s="8" t="s">
        <v>63</v>
      </c>
      <c r="C23" s="8" t="s">
        <v>18</v>
      </c>
      <c r="D23" s="8" t="s">
        <v>19</v>
      </c>
      <c r="E23" s="9">
        <v>2150</v>
      </c>
      <c r="F23" s="9">
        <v>2699</v>
      </c>
      <c r="G23" s="9">
        <v>2499</v>
      </c>
      <c r="H23" s="9">
        <v>2550</v>
      </c>
      <c r="I23" s="9" t="s">
        <v>20</v>
      </c>
      <c r="J23" s="9">
        <v>6</v>
      </c>
      <c r="K23" s="6">
        <v>46162</v>
      </c>
    </row>
    <row r="24" spans="1:11">
      <c r="A24" s="8" t="s">
        <v>64</v>
      </c>
      <c r="B24" s="8" t="s">
        <v>65</v>
      </c>
      <c r="C24" s="8" t="s">
        <v>13</v>
      </c>
      <c r="D24" s="8" t="s">
        <v>14</v>
      </c>
      <c r="E24" s="9">
        <v>5150</v>
      </c>
      <c r="F24" s="9">
        <v>5799</v>
      </c>
      <c r="G24" s="9">
        <v>5499</v>
      </c>
      <c r="H24" s="9">
        <v>5550</v>
      </c>
      <c r="I24" s="9" t="s">
        <v>45</v>
      </c>
      <c r="J24" s="9">
        <v>5</v>
      </c>
      <c r="K24" s="6">
        <v>46164</v>
      </c>
    </row>
    <row r="25" spans="1:11">
      <c r="A25" s="8" t="s">
        <v>66</v>
      </c>
      <c r="B25" s="8" t="s">
        <v>67</v>
      </c>
      <c r="C25" s="8" t="s">
        <v>18</v>
      </c>
      <c r="D25" s="8" t="s">
        <v>19</v>
      </c>
      <c r="E25" s="9">
        <v>1350</v>
      </c>
      <c r="F25" s="9">
        <v>1699</v>
      </c>
      <c r="G25" s="9">
        <v>1599</v>
      </c>
      <c r="H25" s="9">
        <v>1580</v>
      </c>
      <c r="I25" s="9" t="s">
        <v>15</v>
      </c>
      <c r="J25" s="9">
        <v>8</v>
      </c>
      <c r="K25" s="6">
        <v>46162</v>
      </c>
    </row>
    <row r="26" spans="1:11">
      <c r="A26" s="8" t="s">
        <v>68</v>
      </c>
      <c r="B26" s="8" t="s">
        <v>69</v>
      </c>
      <c r="C26" s="8" t="s">
        <v>13</v>
      </c>
      <c r="D26" s="8" t="s">
        <v>14</v>
      </c>
      <c r="E26" s="9">
        <v>2950</v>
      </c>
      <c r="F26" s="9">
        <v>3599</v>
      </c>
      <c r="G26" s="9">
        <v>3399</v>
      </c>
      <c r="H26" s="9">
        <v>3450</v>
      </c>
      <c r="I26" s="9" t="s">
        <v>20</v>
      </c>
      <c r="J26" s="9">
        <v>6</v>
      </c>
      <c r="K26" s="6">
        <v>46163</v>
      </c>
    </row>
    <row r="27" spans="1:11">
      <c r="A27" s="8" t="s">
        <v>70</v>
      </c>
      <c r="B27" s="8" t="s">
        <v>71</v>
      </c>
      <c r="C27" s="8" t="s">
        <v>18</v>
      </c>
      <c r="D27" s="8" t="s">
        <v>19</v>
      </c>
      <c r="E27" s="9">
        <v>4250</v>
      </c>
      <c r="F27" s="9">
        <v>4999</v>
      </c>
      <c r="G27" s="9">
        <v>4699</v>
      </c>
      <c r="H27" s="9">
        <v>4750</v>
      </c>
      <c r="I27" s="9" t="s">
        <v>26</v>
      </c>
      <c r="J27" s="9">
        <v>0</v>
      </c>
      <c r="K27" s="6">
        <v>46162</v>
      </c>
    </row>
    <row r="28" spans="1:11">
      <c r="A28" s="8" t="s">
        <v>72</v>
      </c>
      <c r="B28" s="8" t="s">
        <v>73</v>
      </c>
      <c r="C28" s="8" t="s">
        <v>13</v>
      </c>
      <c r="D28" s="8" t="s">
        <v>14</v>
      </c>
      <c r="E28" s="9">
        <v>4650</v>
      </c>
      <c r="F28" s="9">
        <v>5299</v>
      </c>
      <c r="G28" s="9">
        <v>5099</v>
      </c>
      <c r="H28" s="9">
        <v>5150</v>
      </c>
      <c r="I28" s="9" t="s">
        <v>15</v>
      </c>
      <c r="J28" s="9">
        <v>8</v>
      </c>
      <c r="K28" s="6">
        <v>46164</v>
      </c>
    </row>
    <row r="29" spans="1:11">
      <c r="A29" s="8" t="s">
        <v>74</v>
      </c>
      <c r="B29" s="8" t="s">
        <v>75</v>
      </c>
      <c r="C29" s="8" t="s">
        <v>18</v>
      </c>
      <c r="D29" s="8" t="s">
        <v>19</v>
      </c>
      <c r="E29" s="9">
        <v>850</v>
      </c>
      <c r="F29" s="9">
        <v>1099</v>
      </c>
      <c r="G29" s="9">
        <v>999</v>
      </c>
      <c r="H29" s="9">
        <v>1050</v>
      </c>
      <c r="I29" s="9" t="s">
        <v>20</v>
      </c>
      <c r="J29" s="9">
        <v>6</v>
      </c>
      <c r="K29" s="6">
        <v>46162</v>
      </c>
    </row>
    <row r="30" spans="1:11">
      <c r="A30" s="8" t="s">
        <v>76</v>
      </c>
      <c r="B30" s="8" t="s">
        <v>77</v>
      </c>
      <c r="C30" s="8" t="s">
        <v>13</v>
      </c>
      <c r="D30" s="8" t="s">
        <v>14</v>
      </c>
      <c r="E30" s="9">
        <v>6150</v>
      </c>
      <c r="F30" s="9">
        <v>6799</v>
      </c>
      <c r="G30" s="9">
        <v>6499</v>
      </c>
      <c r="H30" s="9">
        <v>6550</v>
      </c>
      <c r="I30" s="9" t="s">
        <v>45</v>
      </c>
      <c r="J30" s="9">
        <v>5</v>
      </c>
      <c r="K30" s="6">
        <v>46163</v>
      </c>
    </row>
    <row r="31" spans="1:11">
      <c r="A31" s="8" t="s">
        <v>78</v>
      </c>
      <c r="B31" s="8" t="s">
        <v>79</v>
      </c>
      <c r="C31" s="8" t="s">
        <v>18</v>
      </c>
      <c r="D31" s="8" t="s">
        <v>19</v>
      </c>
      <c r="E31" s="9">
        <v>2950</v>
      </c>
      <c r="F31" s="9">
        <v>3799</v>
      </c>
      <c r="G31" s="9">
        <v>3599</v>
      </c>
      <c r="H31" s="9">
        <v>3650</v>
      </c>
      <c r="I31" s="9" t="s">
        <v>15</v>
      </c>
      <c r="J31" s="9">
        <v>8</v>
      </c>
      <c r="K31" s="6">
        <v>46162</v>
      </c>
    </row>
    <row r="32" spans="1:11">
      <c r="A32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57"/>
  <sheetViews>
    <sheetView zoomScale="85" zoomScaleNormal="85" workbookViewId="0">
      <selection activeCell="L2" sqref="L2"/>
    </sheetView>
  </sheetViews>
  <sheetFormatPr defaultColWidth="12.6640625" defaultRowHeight="15.75" customHeight="1"/>
  <cols>
    <col min="1" max="1" width="17.33203125" customWidth="1"/>
    <col min="2" max="2" width="27.44140625" customWidth="1"/>
    <col min="3" max="3" width="16.21875" customWidth="1"/>
    <col min="4" max="4" width="16.33203125" customWidth="1"/>
    <col min="5" max="5" width="18.109375" customWidth="1"/>
    <col min="6" max="6" width="14" customWidth="1"/>
    <col min="7" max="7" width="16.5546875" customWidth="1"/>
    <col min="8" max="8" width="20.33203125" customWidth="1"/>
    <col min="9" max="9" width="14.109375" customWidth="1"/>
  </cols>
  <sheetData>
    <row r="1" spans="1:16" ht="13.2">
      <c r="A1" s="2" t="s">
        <v>0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</row>
    <row r="2" spans="1:16" ht="13.2">
      <c r="A2" s="3" t="s">
        <v>11</v>
      </c>
      <c r="B2" s="3" t="s">
        <v>12</v>
      </c>
      <c r="C2" s="1">
        <v>2199</v>
      </c>
      <c r="D2" s="1">
        <v>2099</v>
      </c>
      <c r="E2" s="1">
        <v>2088</v>
      </c>
      <c r="F2" s="1" t="s">
        <v>15</v>
      </c>
      <c r="G2" s="1">
        <v>8</v>
      </c>
      <c r="H2" s="11">
        <f t="shared" ref="H2:H31" si="0">D2*(1-G2/100)</f>
        <v>1931.0800000000002</v>
      </c>
      <c r="I2" s="11">
        <f>VLOOKUP(A2,'Cleaned data'!A1:K31, 5, FALSE)</f>
        <v>1850</v>
      </c>
      <c r="J2" s="11">
        <f t="shared" ref="J2:J31" si="1">H2-I2</f>
        <v>81.080000000000155</v>
      </c>
      <c r="K2" s="12">
        <f t="shared" ref="K2:K31" si="2">J2/H2</f>
        <v>4.1986867452410127E-2</v>
      </c>
      <c r="L2" s="11">
        <f t="shared" ref="L2:L31" si="3">D2-E2</f>
        <v>11</v>
      </c>
      <c r="M2" s="2" t="str">
        <f t="shared" ref="M2:M31" si="4">IF(J2&lt;0,"LOSS RISK",IF(K2&lt;0.08,"Tight Margin","OK"))</f>
        <v>Tight Margin</v>
      </c>
      <c r="N2" s="37" t="str">
        <f>IF('Working sheet'!M2:M31 = "LOSS RISK", "CRITICAL",IF('Working sheet'!K2:K31 &lt;0.02,"High Risk",IF('Working sheet'!K2:K31&lt;0.05,"Medium", IF('Working sheet'!K2:K31&gt;0.05,"Low"))))</f>
        <v>Medium</v>
      </c>
      <c r="O2" s="31"/>
      <c r="P2" s="14"/>
    </row>
    <row r="3" spans="1:16" ht="13.2">
      <c r="A3" s="5" t="s">
        <v>16</v>
      </c>
      <c r="B3" s="5" t="s">
        <v>17</v>
      </c>
      <c r="C3" s="1">
        <v>1699</v>
      </c>
      <c r="D3" s="1">
        <v>1599</v>
      </c>
      <c r="E3" s="1">
        <v>1588</v>
      </c>
      <c r="F3" s="1" t="s">
        <v>20</v>
      </c>
      <c r="G3" s="1">
        <v>6</v>
      </c>
      <c r="H3" s="11">
        <f t="shared" si="0"/>
        <v>1503.06</v>
      </c>
      <c r="I3" s="11">
        <f>VLOOKUP(A3,'Cleaned data'!A2:K32, 5, FALSE)</f>
        <v>1350</v>
      </c>
      <c r="J3" s="11">
        <f t="shared" si="1"/>
        <v>153.05999999999995</v>
      </c>
      <c r="K3" s="15">
        <f t="shared" si="2"/>
        <v>0.10183226218514228</v>
      </c>
      <c r="L3" s="11">
        <f t="shared" si="3"/>
        <v>11</v>
      </c>
      <c r="M3" s="2" t="str">
        <f t="shared" si="4"/>
        <v>OK</v>
      </c>
      <c r="N3" s="38" t="str">
        <f>IF('Working sheet'!M3:M32 = "LOSS RISK", "CRITICAL",IF('Working sheet'!K3:K32 &lt;0.02,"High Risk",IF('Working sheet'!K3:K32&lt;0.05,"Medium", IF('Working sheet'!K3:K32&gt;0.05,"Low"))))</f>
        <v>Low</v>
      </c>
      <c r="P3" s="14"/>
    </row>
    <row r="4" spans="1:16" ht="13.2">
      <c r="A4" s="5" t="s">
        <v>21</v>
      </c>
      <c r="B4" s="5" t="s">
        <v>22</v>
      </c>
      <c r="C4" s="1">
        <v>3899</v>
      </c>
      <c r="D4" s="1">
        <v>3699</v>
      </c>
      <c r="E4" s="1">
        <v>3750</v>
      </c>
      <c r="F4" s="2" t="s">
        <v>23</v>
      </c>
      <c r="G4" s="2">
        <v>5</v>
      </c>
      <c r="H4" s="11">
        <f t="shared" si="0"/>
        <v>3514.0499999999997</v>
      </c>
      <c r="I4" s="11">
        <f>VLOOKUP(A4,'Cleaned data'!A3:K33, 5, FALSE)</f>
        <v>3250</v>
      </c>
      <c r="J4" s="11">
        <f t="shared" si="1"/>
        <v>264.04999999999973</v>
      </c>
      <c r="K4" s="12">
        <f t="shared" si="2"/>
        <v>7.5141218821587558E-2</v>
      </c>
      <c r="L4" s="11">
        <f t="shared" si="3"/>
        <v>-51</v>
      </c>
      <c r="M4" s="2" t="str">
        <f t="shared" si="4"/>
        <v>Tight Margin</v>
      </c>
      <c r="N4" s="38" t="str">
        <f>IF('Working sheet'!M4:M33 = "LOSS RISK", "CRITICAL",IF('Working sheet'!K4:K33 &lt;0.02,"High Risk",IF('Working sheet'!K4:K33&lt;0.05,"Medium", IF('Working sheet'!K4:K33&gt;0.05,"Low"))))</f>
        <v>Low</v>
      </c>
      <c r="P4" s="14"/>
    </row>
    <row r="5" spans="1:16" ht="13.2">
      <c r="A5" s="5" t="s">
        <v>24</v>
      </c>
      <c r="B5" s="5" t="s">
        <v>25</v>
      </c>
      <c r="C5" s="1">
        <v>2999</v>
      </c>
      <c r="D5" s="1">
        <v>2799</v>
      </c>
      <c r="E5" s="1">
        <v>2850</v>
      </c>
      <c r="F5" s="2" t="s">
        <v>26</v>
      </c>
      <c r="G5" s="2">
        <v>0</v>
      </c>
      <c r="H5" s="11">
        <f t="shared" si="0"/>
        <v>2799</v>
      </c>
      <c r="I5" s="11">
        <f>VLOOKUP(A5,'Cleaned data'!A4:K34, 5, FALSE)</f>
        <v>2450</v>
      </c>
      <c r="J5" s="16">
        <f t="shared" si="1"/>
        <v>349</v>
      </c>
      <c r="K5" s="15">
        <f t="shared" si="2"/>
        <v>0.12468738835298321</v>
      </c>
      <c r="L5" s="11">
        <f t="shared" si="3"/>
        <v>-51</v>
      </c>
      <c r="M5" s="2" t="str">
        <f t="shared" si="4"/>
        <v>OK</v>
      </c>
      <c r="N5" s="38" t="str">
        <f>IF('Working sheet'!M5:M34 = "LOSS RISK", "CRITICAL",IF('Working sheet'!K5:K34 &lt;0.02,"High Risk",IF('Working sheet'!K5:K34&lt;0.05,"Medium", IF('Working sheet'!K5:K34&gt;0.05,"Low"))))</f>
        <v>Low</v>
      </c>
      <c r="P5" s="14"/>
    </row>
    <row r="6" spans="1:16" ht="13.2">
      <c r="A6" s="5" t="s">
        <v>27</v>
      </c>
      <c r="B6" s="5" t="s">
        <v>28</v>
      </c>
      <c r="C6" s="1">
        <v>4599</v>
      </c>
      <c r="D6" s="1">
        <v>4399</v>
      </c>
      <c r="E6" s="1">
        <v>4300</v>
      </c>
      <c r="F6" s="2" t="s">
        <v>15</v>
      </c>
      <c r="G6" s="2">
        <v>8</v>
      </c>
      <c r="H6" s="11">
        <f t="shared" si="0"/>
        <v>4047.0800000000004</v>
      </c>
      <c r="I6" s="11">
        <f>VLOOKUP(A6,'Cleaned data'!A5:K35, 5, FALSE)</f>
        <v>3950</v>
      </c>
      <c r="J6" s="11">
        <f t="shared" si="1"/>
        <v>97.080000000000382</v>
      </c>
      <c r="K6" s="12">
        <f t="shared" si="2"/>
        <v>2.3987665180821821E-2</v>
      </c>
      <c r="L6" s="11">
        <f t="shared" si="3"/>
        <v>99</v>
      </c>
      <c r="M6" s="2" t="str">
        <f t="shared" si="4"/>
        <v>Tight Margin</v>
      </c>
      <c r="N6" s="37" t="str">
        <f>IF('Working sheet'!M6:M35 = "LOSS RISK", "CRITICAL",IF('Working sheet'!K6:K35 &lt;0.02,"High Risk",IF('Working sheet'!K6:K35&lt;0.05,"Medium", IF('Working sheet'!K6:K35&gt;0.05,"Low"))))</f>
        <v>Medium</v>
      </c>
    </row>
    <row r="7" spans="1:16" ht="13.2">
      <c r="A7" s="5" t="s">
        <v>29</v>
      </c>
      <c r="B7" s="5" t="s">
        <v>30</v>
      </c>
      <c r="C7" s="1">
        <v>2399</v>
      </c>
      <c r="D7" s="1">
        <v>2199</v>
      </c>
      <c r="E7" s="1">
        <v>2250</v>
      </c>
      <c r="F7" s="2" t="s">
        <v>20</v>
      </c>
      <c r="G7" s="2">
        <v>6</v>
      </c>
      <c r="H7" s="11">
        <f t="shared" si="0"/>
        <v>2067.06</v>
      </c>
      <c r="I7" s="11">
        <f>VLOOKUP(A7,'Cleaned data'!A6:K36, 5, FALSE)</f>
        <v>2000</v>
      </c>
      <c r="J7" s="11">
        <f t="shared" si="1"/>
        <v>67.059999999999945</v>
      </c>
      <c r="K7" s="12">
        <f>J7/H7</f>
        <v>3.2442212611148179E-2</v>
      </c>
      <c r="L7" s="11">
        <f t="shared" si="3"/>
        <v>-51</v>
      </c>
      <c r="M7" s="2" t="str">
        <f t="shared" si="4"/>
        <v>Tight Margin</v>
      </c>
      <c r="N7" s="37" t="str">
        <f>IF('Working sheet'!M7:M36 = "LOSS RISK", "CRITICAL",IF('Working sheet'!K7:K36 &lt;0.02,"High Risk",IF('Working sheet'!K7:K36&lt;0.05,"Medium", IF('Working sheet'!K7:K36&gt;0.05,"Low"))))</f>
        <v>Medium</v>
      </c>
    </row>
    <row r="8" spans="1:16" ht="13.2">
      <c r="A8" s="5" t="s">
        <v>31</v>
      </c>
      <c r="B8" s="5" t="s">
        <v>32</v>
      </c>
      <c r="C8" s="1">
        <v>1399</v>
      </c>
      <c r="D8" s="1">
        <v>1299</v>
      </c>
      <c r="E8" s="1">
        <v>1250</v>
      </c>
      <c r="F8" s="2" t="s">
        <v>15</v>
      </c>
      <c r="G8" s="2">
        <v>8</v>
      </c>
      <c r="H8" s="11">
        <f t="shared" si="0"/>
        <v>1195.0800000000002</v>
      </c>
      <c r="I8" s="11">
        <f>VLOOKUP(A8,'Cleaned data'!A7:K37, 5, FALSE)</f>
        <v>1150</v>
      </c>
      <c r="J8" s="11">
        <f t="shared" si="1"/>
        <v>45.080000000000155</v>
      </c>
      <c r="K8" s="12">
        <f t="shared" si="2"/>
        <v>3.772132409545817E-2</v>
      </c>
      <c r="L8" s="11">
        <f t="shared" si="3"/>
        <v>49</v>
      </c>
      <c r="M8" s="2" t="str">
        <f t="shared" si="4"/>
        <v>Tight Margin</v>
      </c>
      <c r="N8" s="37" t="str">
        <f>IF('Working sheet'!M8:M37 = "LOSS RISK", "CRITICAL",IF('Working sheet'!K8:K37 &lt;0.02,"High Risk",IF('Working sheet'!K8:K37&lt;0.05,"Medium", IF('Working sheet'!K8:K37&gt;0.05,"Low"))))</f>
        <v>Medium</v>
      </c>
    </row>
    <row r="9" spans="1:16" ht="13.2">
      <c r="A9" s="5" t="s">
        <v>33</v>
      </c>
      <c r="B9" s="5" t="s">
        <v>34</v>
      </c>
      <c r="C9" s="1">
        <v>3299</v>
      </c>
      <c r="D9" s="1">
        <v>3099</v>
      </c>
      <c r="E9" s="1">
        <v>3150</v>
      </c>
      <c r="F9" s="2" t="s">
        <v>23</v>
      </c>
      <c r="G9" s="2">
        <v>5</v>
      </c>
      <c r="H9" s="11">
        <f t="shared" si="0"/>
        <v>2944.0499999999997</v>
      </c>
      <c r="I9" s="11">
        <f>VLOOKUP(A9,'Cleaned data'!A8:K38, 5, FALSE)</f>
        <v>2750</v>
      </c>
      <c r="J9" s="11">
        <f t="shared" si="1"/>
        <v>194.04999999999973</v>
      </c>
      <c r="K9" s="12">
        <f t="shared" si="2"/>
        <v>6.5912603386491311E-2</v>
      </c>
      <c r="L9" s="11">
        <f t="shared" si="3"/>
        <v>-51</v>
      </c>
      <c r="M9" s="2" t="str">
        <f t="shared" si="4"/>
        <v>Tight Margin</v>
      </c>
      <c r="N9" s="13" t="str">
        <f>IF('Working sheet'!M9:M38 = "LOSS RISK", "CRITICAL",IF('Working sheet'!K9:K38 &lt;0.02,"High Risk",IF('Working sheet'!K9:K38&lt;0.05,"Medium", IF('Working sheet'!K9:K38&gt;0.05,"Low"))))</f>
        <v>Low</v>
      </c>
    </row>
    <row r="10" spans="1:16" ht="13.2">
      <c r="A10" s="5" t="s">
        <v>35</v>
      </c>
      <c r="B10" s="7" t="s">
        <v>36</v>
      </c>
      <c r="C10" s="1">
        <v>2499</v>
      </c>
      <c r="D10" s="1">
        <v>2299</v>
      </c>
      <c r="E10" s="1">
        <v>2350</v>
      </c>
      <c r="F10" s="2" t="s">
        <v>20</v>
      </c>
      <c r="G10" s="2">
        <v>6</v>
      </c>
      <c r="H10" s="11">
        <f t="shared" si="0"/>
        <v>2161.06</v>
      </c>
      <c r="I10" s="11">
        <f>VLOOKUP(A10,'Cleaned data'!A9:K39, 5, FALSE)</f>
        <v>2050</v>
      </c>
      <c r="J10" s="11">
        <f t="shared" si="1"/>
        <v>111.05999999999995</v>
      </c>
      <c r="K10" s="12">
        <f t="shared" si="2"/>
        <v>5.1391446790001176E-2</v>
      </c>
      <c r="L10" s="11">
        <f t="shared" si="3"/>
        <v>-51</v>
      </c>
      <c r="M10" s="2" t="str">
        <f t="shared" si="4"/>
        <v>Tight Margin</v>
      </c>
      <c r="N10" s="13" t="str">
        <f>IF('Working sheet'!M10:M39 = "LOSS RISK", "CRITICAL",IF('Working sheet'!K10:K39 &lt;0.02,"High Risk",IF('Working sheet'!K10:K39&lt;0.05,"Medium", IF('Working sheet'!K10:K39&gt;0.05,"Low"))))</f>
        <v>Low</v>
      </c>
    </row>
    <row r="11" spans="1:16" ht="13.2">
      <c r="A11" s="5" t="s">
        <v>37</v>
      </c>
      <c r="B11" s="5" t="s">
        <v>38</v>
      </c>
      <c r="C11" s="1">
        <v>5299</v>
      </c>
      <c r="D11" s="1">
        <v>4999</v>
      </c>
      <c r="E11" s="1">
        <v>5050</v>
      </c>
      <c r="F11" s="2" t="s">
        <v>26</v>
      </c>
      <c r="G11" s="2">
        <v>0</v>
      </c>
      <c r="H11" s="11">
        <f t="shared" si="0"/>
        <v>4999</v>
      </c>
      <c r="I11" s="11">
        <f>VLOOKUP(A11,'Cleaned data'!A10:K40, 5, FALSE)</f>
        <v>4450</v>
      </c>
      <c r="J11" s="11">
        <f t="shared" si="1"/>
        <v>549</v>
      </c>
      <c r="K11" s="15">
        <f t="shared" si="2"/>
        <v>0.10982196439287857</v>
      </c>
      <c r="L11" s="11">
        <f t="shared" si="3"/>
        <v>-51</v>
      </c>
      <c r="M11" s="2" t="str">
        <f t="shared" si="4"/>
        <v>OK</v>
      </c>
      <c r="N11" s="13" t="str">
        <f>IF('Working sheet'!M11:M40 = "LOSS RISK", "CRITICAL",IF('Working sheet'!K11:K40 &lt;0.02,"High Risk",IF('Working sheet'!K11:K40&lt;0.05,"Medium", IF('Working sheet'!K11:K40&gt;0.05,"Low"))))</f>
        <v>Low</v>
      </c>
    </row>
    <row r="12" spans="1:16" ht="13.2">
      <c r="A12" s="8" t="s">
        <v>39</v>
      </c>
      <c r="B12" s="8" t="s">
        <v>40</v>
      </c>
      <c r="C12" s="9">
        <v>5399</v>
      </c>
      <c r="D12" s="9">
        <v>5099</v>
      </c>
      <c r="E12" s="9">
        <v>5150</v>
      </c>
      <c r="F12" s="9" t="s">
        <v>15</v>
      </c>
      <c r="G12" s="9">
        <v>8</v>
      </c>
      <c r="H12" s="11">
        <f t="shared" si="0"/>
        <v>4691.08</v>
      </c>
      <c r="I12" s="11">
        <f>VLOOKUP(A12,'Cleaned data'!A11:K41, 5, FALSE)</f>
        <v>4750</v>
      </c>
      <c r="J12" s="11">
        <f t="shared" si="1"/>
        <v>-58.920000000000073</v>
      </c>
      <c r="K12" s="17">
        <f t="shared" si="2"/>
        <v>-1.2560007503602597E-2</v>
      </c>
      <c r="L12" s="11">
        <f t="shared" si="3"/>
        <v>-51</v>
      </c>
      <c r="M12" s="2" t="str">
        <f t="shared" si="4"/>
        <v>LOSS RISK</v>
      </c>
      <c r="N12" s="18" t="str">
        <f>IF('Working sheet'!M12:M41 = "LOSS RISK", "CRITICAL",IF('Working sheet'!K12:K41 &lt;0.02,"High Risk",IF('Working sheet'!K12:K41&lt;0.05,"Medium", IF('Working sheet'!K12:K41&gt;0.05,"Low"))))</f>
        <v>CRITICAL</v>
      </c>
    </row>
    <row r="13" spans="1:16" ht="13.2">
      <c r="A13" s="8" t="s">
        <v>41</v>
      </c>
      <c r="B13" s="8" t="s">
        <v>42</v>
      </c>
      <c r="C13" s="9">
        <v>1899</v>
      </c>
      <c r="D13" s="9">
        <v>1799</v>
      </c>
      <c r="E13" s="9">
        <v>1750</v>
      </c>
      <c r="F13" s="9" t="s">
        <v>20</v>
      </c>
      <c r="G13" s="9">
        <v>6</v>
      </c>
      <c r="H13" s="11">
        <f t="shared" si="0"/>
        <v>1691.06</v>
      </c>
      <c r="I13" s="11">
        <f>VLOOKUP(A13,'Cleaned data'!A12:K42, 5, FALSE)</f>
        <v>1550</v>
      </c>
      <c r="J13" s="11">
        <f t="shared" si="1"/>
        <v>141.05999999999995</v>
      </c>
      <c r="K13" s="15">
        <f t="shared" si="2"/>
        <v>8.3415136068501386E-2</v>
      </c>
      <c r="L13" s="11">
        <f t="shared" si="3"/>
        <v>49</v>
      </c>
      <c r="M13" s="2" t="str">
        <f t="shared" si="4"/>
        <v>OK</v>
      </c>
      <c r="N13" s="13" t="str">
        <f>IF('Working sheet'!M13:M42 = "LOSS RISK", "CRITICAL",IF('Working sheet'!K13:K42 &lt;0.02,"High Risk",IF('Working sheet'!K13:K42&lt;0.05,"Medium", IF('Working sheet'!K13:K42&gt;0.05,"Low"))))</f>
        <v>Low</v>
      </c>
    </row>
    <row r="14" spans="1:16" ht="13.2">
      <c r="A14" s="8" t="s">
        <v>43</v>
      </c>
      <c r="B14" s="8" t="s">
        <v>44</v>
      </c>
      <c r="C14" s="9">
        <v>4299</v>
      </c>
      <c r="D14" s="9">
        <v>4099</v>
      </c>
      <c r="E14" s="9">
        <v>4150</v>
      </c>
      <c r="F14" s="9" t="s">
        <v>45</v>
      </c>
      <c r="G14" s="9">
        <v>5</v>
      </c>
      <c r="H14" s="11">
        <f t="shared" si="0"/>
        <v>3894.0499999999997</v>
      </c>
      <c r="I14" s="11">
        <f>VLOOKUP(A14,'Cleaned data'!A13:K43, 5, FALSE)</f>
        <v>3650</v>
      </c>
      <c r="J14" s="11">
        <f t="shared" si="1"/>
        <v>244.04999999999973</v>
      </c>
      <c r="K14" s="12">
        <f t="shared" si="2"/>
        <v>6.2672538873409372E-2</v>
      </c>
      <c r="L14" s="11">
        <f t="shared" si="3"/>
        <v>-51</v>
      </c>
      <c r="M14" s="2" t="str">
        <f t="shared" si="4"/>
        <v>Tight Margin</v>
      </c>
      <c r="N14" s="13" t="str">
        <f>IF('Working sheet'!M14:M43 = "LOSS RISK", "CRITICAL",IF('Working sheet'!K14:K43 &lt;0.02,"High Risk",IF('Working sheet'!K14:K43&lt;0.05,"Medium", IF('Working sheet'!K14:K43&gt;0.05,"Low"))))</f>
        <v>Low</v>
      </c>
    </row>
    <row r="15" spans="1:16" ht="13.2">
      <c r="A15" s="8" t="s">
        <v>46</v>
      </c>
      <c r="B15" s="8" t="s">
        <v>47</v>
      </c>
      <c r="C15" s="9">
        <v>4899</v>
      </c>
      <c r="D15" s="9">
        <v>4599</v>
      </c>
      <c r="E15" s="9">
        <v>4650</v>
      </c>
      <c r="F15" s="9" t="s">
        <v>26</v>
      </c>
      <c r="G15" s="9">
        <v>0</v>
      </c>
      <c r="H15" s="11">
        <f t="shared" si="0"/>
        <v>4599</v>
      </c>
      <c r="I15" s="11">
        <f>VLOOKUP(A15,'Cleaned data'!A14:K44, 5, FALSE)</f>
        <v>3950</v>
      </c>
      <c r="J15" s="16">
        <f t="shared" si="1"/>
        <v>649</v>
      </c>
      <c r="K15" s="15">
        <f t="shared" si="2"/>
        <v>0.14111763426831919</v>
      </c>
      <c r="L15" s="11">
        <f t="shared" si="3"/>
        <v>-51</v>
      </c>
      <c r="M15" s="2" t="str">
        <f t="shared" si="4"/>
        <v>OK</v>
      </c>
      <c r="N15" s="13" t="str">
        <f>IF('Working sheet'!M15:M44 = "LOSS RISK", "CRITICAL",IF('Working sheet'!K15:K44 &lt;0.02,"High Risk",IF('Working sheet'!K15:K44&lt;0.05,"Medium", IF('Working sheet'!K15:K44&gt;0.05,"Low"))))</f>
        <v>Low</v>
      </c>
    </row>
    <row r="16" spans="1:16" ht="13.2">
      <c r="A16" s="8" t="s">
        <v>48</v>
      </c>
      <c r="B16" s="8" t="s">
        <v>49</v>
      </c>
      <c r="C16" s="9">
        <v>4899</v>
      </c>
      <c r="D16" s="9">
        <v>4699</v>
      </c>
      <c r="E16" s="9">
        <v>4750</v>
      </c>
      <c r="F16" s="9" t="s">
        <v>15</v>
      </c>
      <c r="G16" s="9">
        <v>8</v>
      </c>
      <c r="H16" s="11">
        <f t="shared" si="0"/>
        <v>4323.08</v>
      </c>
      <c r="I16" s="11">
        <f>VLOOKUP(A16,'Cleaned data'!A15:K45, 5, FALSE)</f>
        <v>4250</v>
      </c>
      <c r="J16" s="11">
        <f t="shared" si="1"/>
        <v>73.079999999999927</v>
      </c>
      <c r="K16" s="12">
        <f t="shared" si="2"/>
        <v>1.6904614302765603E-2</v>
      </c>
      <c r="L16" s="11">
        <f t="shared" si="3"/>
        <v>-51</v>
      </c>
      <c r="M16" s="2" t="str">
        <f t="shared" si="4"/>
        <v>Tight Margin</v>
      </c>
      <c r="N16" s="19" t="str">
        <f>IF('Working sheet'!M16:M45 = "LOSS RISK", "CRITICAL",IF('Working sheet'!K16:K45 &lt;0.02,"High Risk",IF('Working sheet'!K16:K45&lt;0.05,"Medium", IF('Working sheet'!K16:K45&gt;0.05,"Low"))))</f>
        <v>High Risk</v>
      </c>
    </row>
    <row r="17" spans="1:14" ht="13.2">
      <c r="A17" s="8" t="s">
        <v>50</v>
      </c>
      <c r="B17" s="8" t="s">
        <v>51</v>
      </c>
      <c r="C17" s="9">
        <v>1299</v>
      </c>
      <c r="D17" s="9">
        <v>1199</v>
      </c>
      <c r="E17" s="9">
        <v>1150</v>
      </c>
      <c r="F17" s="9" t="s">
        <v>20</v>
      </c>
      <c r="G17" s="9">
        <v>6</v>
      </c>
      <c r="H17" s="11">
        <f t="shared" si="0"/>
        <v>1127.06</v>
      </c>
      <c r="I17" s="11">
        <f>VLOOKUP(A17,'Cleaned data'!A16:K46, 5, FALSE)</f>
        <v>950</v>
      </c>
      <c r="J17" s="11">
        <f t="shared" si="1"/>
        <v>177.05999999999995</v>
      </c>
      <c r="K17" s="15">
        <f t="shared" si="2"/>
        <v>0.15709900094050003</v>
      </c>
      <c r="L17" s="11">
        <f t="shared" si="3"/>
        <v>49</v>
      </c>
      <c r="M17" s="2" t="str">
        <f t="shared" si="4"/>
        <v>OK</v>
      </c>
      <c r="N17" s="13" t="str">
        <f>IF('Working sheet'!M17:M46 = "LOSS RISK", "CRITICAL",IF('Working sheet'!K17:K46 &lt;0.02,"High Risk",IF('Working sheet'!K17:K46&lt;0.05,"Medium", IF('Working sheet'!K17:K46&gt;0.05,"Low"))))</f>
        <v>Low</v>
      </c>
    </row>
    <row r="18" spans="1:14" ht="13.2">
      <c r="A18" s="8" t="s">
        <v>52</v>
      </c>
      <c r="B18" s="8" t="s">
        <v>53</v>
      </c>
      <c r="C18" s="9">
        <v>6299</v>
      </c>
      <c r="D18" s="9">
        <v>5999</v>
      </c>
      <c r="E18" s="9">
        <v>6050</v>
      </c>
      <c r="F18" s="9" t="s">
        <v>45</v>
      </c>
      <c r="G18" s="9">
        <v>5</v>
      </c>
      <c r="H18" s="11">
        <f t="shared" si="0"/>
        <v>5699.05</v>
      </c>
      <c r="I18" s="11">
        <f>VLOOKUP(A18,'Cleaned data'!A17:K47, 5, FALSE)</f>
        <v>5650</v>
      </c>
      <c r="J18" s="11">
        <f t="shared" si="1"/>
        <v>49.050000000000182</v>
      </c>
      <c r="K18" s="12">
        <f t="shared" si="2"/>
        <v>8.606697607496017E-3</v>
      </c>
      <c r="L18" s="11">
        <f t="shared" si="3"/>
        <v>-51</v>
      </c>
      <c r="M18" s="2" t="str">
        <f t="shared" si="4"/>
        <v>Tight Margin</v>
      </c>
      <c r="N18" s="19" t="str">
        <f>IF('Working sheet'!M18:M47 = "LOSS RISK", "CRITICAL",IF('Working sheet'!K18:K47 &lt;0.02,"High Risk",IF('Working sheet'!K18:K47&lt;0.05,"Medium", IF('Working sheet'!K18:K47&gt;0.05,"Low"))))</f>
        <v>High Risk</v>
      </c>
    </row>
    <row r="19" spans="1:14" ht="13.2">
      <c r="A19" s="8" t="s">
        <v>54</v>
      </c>
      <c r="B19" s="8" t="s">
        <v>55</v>
      </c>
      <c r="C19" s="9">
        <v>3299</v>
      </c>
      <c r="D19" s="9">
        <v>3099</v>
      </c>
      <c r="E19" s="9">
        <v>3120</v>
      </c>
      <c r="F19" s="9" t="s">
        <v>15</v>
      </c>
      <c r="G19" s="9">
        <v>8</v>
      </c>
      <c r="H19" s="11">
        <f t="shared" si="0"/>
        <v>2851.08</v>
      </c>
      <c r="I19" s="11">
        <f>VLOOKUP(A19,'Cleaned data'!A18:K48, 5, FALSE)</f>
        <v>2650</v>
      </c>
      <c r="J19" s="11">
        <f t="shared" si="1"/>
        <v>201.07999999999993</v>
      </c>
      <c r="K19" s="12">
        <f t="shared" si="2"/>
        <v>7.052765969387037E-2</v>
      </c>
      <c r="L19" s="11">
        <f t="shared" si="3"/>
        <v>-21</v>
      </c>
      <c r="M19" s="2" t="str">
        <f t="shared" si="4"/>
        <v>Tight Margin</v>
      </c>
      <c r="N19" s="13" t="str">
        <f>IF('Working sheet'!M19:M48 = "LOSS RISK", "CRITICAL",IF('Working sheet'!K19:K48 &lt;0.02,"High Risk",IF('Working sheet'!K19:K48&lt;0.05,"Medium", IF('Working sheet'!K19:K48&gt;0.05,"Low"))))</f>
        <v>Low</v>
      </c>
    </row>
    <row r="20" spans="1:14" ht="13.2">
      <c r="A20" s="8" t="s">
        <v>56</v>
      </c>
      <c r="B20" s="8" t="s">
        <v>57</v>
      </c>
      <c r="C20" s="9">
        <v>2999</v>
      </c>
      <c r="D20" s="9">
        <v>2799</v>
      </c>
      <c r="E20" s="9">
        <v>2850</v>
      </c>
      <c r="F20" s="9" t="s">
        <v>20</v>
      </c>
      <c r="G20" s="9">
        <v>6</v>
      </c>
      <c r="H20" s="11">
        <f t="shared" si="0"/>
        <v>2631.06</v>
      </c>
      <c r="I20" s="11">
        <f>VLOOKUP(A20,'Cleaned data'!A19:K49, 5, FALSE)</f>
        <v>2550</v>
      </c>
      <c r="J20" s="11">
        <f t="shared" si="1"/>
        <v>81.059999999999945</v>
      </c>
      <c r="K20" s="12">
        <f t="shared" si="2"/>
        <v>3.0808875510250602E-2</v>
      </c>
      <c r="L20" s="11">
        <f t="shared" si="3"/>
        <v>-51</v>
      </c>
      <c r="M20" s="2" t="str">
        <f t="shared" si="4"/>
        <v>Tight Margin</v>
      </c>
      <c r="N20" s="38" t="str">
        <f>IF('Working sheet'!M20:M49 = "LOSS RISK", "CRITICAL",IF('Working sheet'!K20:K49 &lt;0.02,"High Risk",IF('Working sheet'!K20:K49&lt;0.05,"Medium", IF('Working sheet'!K20:K49&gt;0.05,"Low"))))</f>
        <v>Medium</v>
      </c>
    </row>
    <row r="21" spans="1:14" ht="13.2">
      <c r="A21" s="8" t="s">
        <v>58</v>
      </c>
      <c r="B21" s="8" t="s">
        <v>59</v>
      </c>
      <c r="C21" s="9">
        <v>1599</v>
      </c>
      <c r="D21" s="9">
        <v>1499</v>
      </c>
      <c r="E21" s="9">
        <v>1480</v>
      </c>
      <c r="F21" s="9" t="s">
        <v>26</v>
      </c>
      <c r="G21" s="9">
        <v>0</v>
      </c>
      <c r="H21" s="11">
        <f t="shared" si="0"/>
        <v>1499</v>
      </c>
      <c r="I21" s="11">
        <f>VLOOKUP(A21,'Cleaned data'!A20:K50, 5, FALSE)</f>
        <v>1250</v>
      </c>
      <c r="J21" s="11">
        <f t="shared" si="1"/>
        <v>249</v>
      </c>
      <c r="K21" s="15">
        <f t="shared" si="2"/>
        <v>0.16611074049366245</v>
      </c>
      <c r="L21" s="11">
        <f t="shared" si="3"/>
        <v>19</v>
      </c>
      <c r="M21" s="2" t="str">
        <f t="shared" si="4"/>
        <v>OK</v>
      </c>
      <c r="N21" s="13" t="str">
        <f>IF('Working sheet'!M21:M50 = "LOSS RISK", "CRITICAL",IF('Working sheet'!K21:K50 &lt;0.02,"High Risk",IF('Working sheet'!K21:K50&lt;0.05,"Medium", IF('Working sheet'!K21:K50&gt;0.05,"Low"))))</f>
        <v>Low</v>
      </c>
    </row>
    <row r="22" spans="1:14" ht="13.2">
      <c r="A22" s="8" t="s">
        <v>60</v>
      </c>
      <c r="B22" s="8" t="s">
        <v>61</v>
      </c>
      <c r="C22" s="9">
        <v>5499</v>
      </c>
      <c r="D22" s="9">
        <v>5199</v>
      </c>
      <c r="E22" s="9">
        <v>5250</v>
      </c>
      <c r="F22" s="9" t="s">
        <v>15</v>
      </c>
      <c r="G22" s="9">
        <v>8</v>
      </c>
      <c r="H22" s="11">
        <f t="shared" si="0"/>
        <v>4783.08</v>
      </c>
      <c r="I22" s="11">
        <f>VLOOKUP(A22,'Cleaned data'!A21:K51, 5, FALSE)</f>
        <v>4850</v>
      </c>
      <c r="J22" s="11">
        <f t="shared" si="1"/>
        <v>-66.920000000000073</v>
      </c>
      <c r="K22" s="17">
        <f t="shared" si="2"/>
        <v>-1.3990984888398285E-2</v>
      </c>
      <c r="L22" s="11">
        <f t="shared" si="3"/>
        <v>-51</v>
      </c>
      <c r="M22" s="2" t="str">
        <f t="shared" si="4"/>
        <v>LOSS RISK</v>
      </c>
      <c r="N22" s="18" t="str">
        <f>IF('Working sheet'!M22:M51 = "LOSS RISK", "CRITICAL",IF('Working sheet'!K22:K51 &lt;0.02,"High Risk",IF('Working sheet'!K22:K51&lt;0.05,"Medium", IF('Working sheet'!K22:K51&gt;0.05,"Low"))))</f>
        <v>CRITICAL</v>
      </c>
    </row>
    <row r="23" spans="1:14" ht="13.2">
      <c r="A23" s="8" t="s">
        <v>62</v>
      </c>
      <c r="B23" s="8" t="s">
        <v>63</v>
      </c>
      <c r="C23" s="9">
        <v>2699</v>
      </c>
      <c r="D23" s="9">
        <v>2499</v>
      </c>
      <c r="E23" s="9">
        <v>2550</v>
      </c>
      <c r="F23" s="9" t="s">
        <v>20</v>
      </c>
      <c r="G23" s="9">
        <v>6</v>
      </c>
      <c r="H23" s="11">
        <f t="shared" si="0"/>
        <v>2349.06</v>
      </c>
      <c r="I23" s="11">
        <f>VLOOKUP(A23,'Cleaned data'!A22:K52, 5, FALSE)</f>
        <v>2150</v>
      </c>
      <c r="J23" s="11">
        <f t="shared" si="1"/>
        <v>199.05999999999995</v>
      </c>
      <c r="K23" s="15">
        <f t="shared" si="2"/>
        <v>8.4740279090359527E-2</v>
      </c>
      <c r="L23" s="11">
        <f t="shared" si="3"/>
        <v>-51</v>
      </c>
      <c r="M23" s="2" t="str">
        <f t="shared" si="4"/>
        <v>OK</v>
      </c>
      <c r="N23" s="13" t="str">
        <f>IF('Working sheet'!M23:M52 = "LOSS RISK", "CRITICAL",IF('Working sheet'!K23:K52 &lt;0.02,"High Risk",IF('Working sheet'!K23:K52&lt;0.05,"Medium", IF('Working sheet'!K23:K52&gt;0.05,"Low"))))</f>
        <v>Low</v>
      </c>
    </row>
    <row r="24" spans="1:14" ht="13.2">
      <c r="A24" s="8" t="s">
        <v>64</v>
      </c>
      <c r="B24" s="8" t="s">
        <v>65</v>
      </c>
      <c r="C24" s="9">
        <v>5799</v>
      </c>
      <c r="D24" s="9">
        <v>5499</v>
      </c>
      <c r="E24" s="9">
        <v>5550</v>
      </c>
      <c r="F24" s="9" t="s">
        <v>45</v>
      </c>
      <c r="G24" s="9">
        <v>5</v>
      </c>
      <c r="H24" s="11">
        <f t="shared" si="0"/>
        <v>5224.05</v>
      </c>
      <c r="I24" s="11">
        <f>VLOOKUP(A24,'Cleaned data'!A23:K53, 5, FALSE)</f>
        <v>5150</v>
      </c>
      <c r="J24" s="11">
        <f t="shared" si="1"/>
        <v>74.050000000000182</v>
      </c>
      <c r="K24" s="12">
        <f t="shared" si="2"/>
        <v>1.4174826044926862E-2</v>
      </c>
      <c r="L24" s="11">
        <f t="shared" si="3"/>
        <v>-51</v>
      </c>
      <c r="M24" s="2" t="str">
        <f t="shared" si="4"/>
        <v>Tight Margin</v>
      </c>
      <c r="N24" s="19" t="str">
        <f>IF('Working sheet'!M24:M53 = "LOSS RISK", "CRITICAL",IF('Working sheet'!K24:K53 &lt;0.02,"High Risk",IF('Working sheet'!K24:K53&lt;0.05,"Medium", IF('Working sheet'!K24:K53&gt;0.05,"Low"))))</f>
        <v>High Risk</v>
      </c>
    </row>
    <row r="25" spans="1:14" ht="13.2">
      <c r="A25" s="8" t="s">
        <v>66</v>
      </c>
      <c r="B25" s="8" t="s">
        <v>67</v>
      </c>
      <c r="C25" s="9">
        <v>1699</v>
      </c>
      <c r="D25" s="9">
        <v>1599</v>
      </c>
      <c r="E25" s="9">
        <v>1580</v>
      </c>
      <c r="F25" s="9" t="s">
        <v>15</v>
      </c>
      <c r="G25" s="9">
        <v>8</v>
      </c>
      <c r="H25" s="11">
        <f t="shared" si="0"/>
        <v>1471.0800000000002</v>
      </c>
      <c r="I25" s="11">
        <f>VLOOKUP(A25,'Cleaned data'!A24:K54, 5, FALSE)</f>
        <v>1350</v>
      </c>
      <c r="J25" s="16">
        <f t="shared" si="1"/>
        <v>121.08000000000015</v>
      </c>
      <c r="K25" s="15">
        <f t="shared" si="2"/>
        <v>8.2306876580471589E-2</v>
      </c>
      <c r="L25" s="11">
        <f t="shared" si="3"/>
        <v>19</v>
      </c>
      <c r="M25" s="2" t="str">
        <f t="shared" si="4"/>
        <v>OK</v>
      </c>
      <c r="N25" s="13" t="str">
        <f>IF('Working sheet'!M25:M54 = "LOSS RISK", "CRITICAL",IF('Working sheet'!K25:K54 &lt;0.02,"High Risk",IF('Working sheet'!K25:K54&lt;0.05,"Medium", IF('Working sheet'!K25:K54&gt;0.05,"Low"))))</f>
        <v>Low</v>
      </c>
    </row>
    <row r="26" spans="1:14" ht="13.2">
      <c r="A26" s="8" t="s">
        <v>68</v>
      </c>
      <c r="B26" s="8" t="s">
        <v>69</v>
      </c>
      <c r="C26" s="9">
        <v>3599</v>
      </c>
      <c r="D26" s="9">
        <v>3399</v>
      </c>
      <c r="E26" s="9">
        <v>3450</v>
      </c>
      <c r="F26" s="9" t="s">
        <v>20</v>
      </c>
      <c r="G26" s="9">
        <v>6</v>
      </c>
      <c r="H26" s="11">
        <f t="shared" si="0"/>
        <v>3195.06</v>
      </c>
      <c r="I26" s="11">
        <f>VLOOKUP(A26,'Cleaned data'!A25:K55, 5, FALSE)</f>
        <v>2950</v>
      </c>
      <c r="J26" s="11">
        <f t="shared" si="1"/>
        <v>245.05999999999995</v>
      </c>
      <c r="K26" s="12">
        <f t="shared" si="2"/>
        <v>7.6699655092549113E-2</v>
      </c>
      <c r="L26" s="11">
        <f t="shared" si="3"/>
        <v>-51</v>
      </c>
      <c r="M26" s="2" t="str">
        <f t="shared" si="4"/>
        <v>Tight Margin</v>
      </c>
      <c r="N26" s="13" t="str">
        <f>IF('Working sheet'!M26:M55 = "LOSS RISK", "CRITICAL",IF('Working sheet'!K26:K55 &lt;0.02,"High Risk",IF('Working sheet'!K26:K55&lt;0.05,"Medium", IF('Working sheet'!K26:K55&gt;0.05,"Low"))))</f>
        <v>Low</v>
      </c>
    </row>
    <row r="27" spans="1:14" ht="13.2">
      <c r="A27" s="8" t="s">
        <v>70</v>
      </c>
      <c r="B27" s="8" t="s">
        <v>71</v>
      </c>
      <c r="C27" s="9">
        <v>4999</v>
      </c>
      <c r="D27" s="9">
        <v>4699</v>
      </c>
      <c r="E27" s="9">
        <v>4750</v>
      </c>
      <c r="F27" s="9" t="s">
        <v>26</v>
      </c>
      <c r="G27" s="9">
        <v>0</v>
      </c>
      <c r="H27" s="11">
        <f t="shared" si="0"/>
        <v>4699</v>
      </c>
      <c r="I27" s="11">
        <f>VLOOKUP(A27,'Cleaned data'!A26:K56, 5, FALSE)</f>
        <v>4250</v>
      </c>
      <c r="J27" s="11">
        <f t="shared" si="1"/>
        <v>449</v>
      </c>
      <c r="K27" s="15">
        <f t="shared" si="2"/>
        <v>9.5552245158544366E-2</v>
      </c>
      <c r="L27" s="11">
        <f t="shared" si="3"/>
        <v>-51</v>
      </c>
      <c r="M27" s="2" t="str">
        <f t="shared" si="4"/>
        <v>OK</v>
      </c>
      <c r="N27" s="13" t="str">
        <f>IF('Working sheet'!M27:M56 = "LOSS RISK", "CRITICAL",IF('Working sheet'!K27:K56 &lt;0.02,"High Risk",IF('Working sheet'!K27:K56&lt;0.05,"Medium", IF('Working sheet'!K27:K56&gt;0.05,"Low"))))</f>
        <v>Low</v>
      </c>
    </row>
    <row r="28" spans="1:14" ht="13.2">
      <c r="A28" s="8" t="s">
        <v>72</v>
      </c>
      <c r="B28" s="8" t="s">
        <v>73</v>
      </c>
      <c r="C28" s="9">
        <v>5299</v>
      </c>
      <c r="D28" s="9">
        <v>5099</v>
      </c>
      <c r="E28" s="9">
        <v>5150</v>
      </c>
      <c r="F28" s="9" t="s">
        <v>15</v>
      </c>
      <c r="G28" s="9">
        <v>8</v>
      </c>
      <c r="H28" s="11">
        <f t="shared" si="0"/>
        <v>4691.08</v>
      </c>
      <c r="I28" s="11">
        <f>VLOOKUP(A28,'Cleaned data'!A27:K57, 5, FALSE)</f>
        <v>4650</v>
      </c>
      <c r="J28" s="11">
        <f t="shared" si="1"/>
        <v>41.079999999999927</v>
      </c>
      <c r="K28" s="12">
        <f t="shared" si="2"/>
        <v>8.7570452859469308E-3</v>
      </c>
      <c r="L28" s="11">
        <f t="shared" si="3"/>
        <v>-51</v>
      </c>
      <c r="M28" s="2" t="str">
        <f t="shared" si="4"/>
        <v>Tight Margin</v>
      </c>
      <c r="N28" s="19" t="str">
        <f>IF('Working sheet'!M28:M57 = "LOSS RISK", "CRITICAL",IF('Working sheet'!K28:K57 &lt;0.02,"High Risk",IF('Working sheet'!K28:K57&lt;0.05,"Medium", IF('Working sheet'!K28:K57&gt;0.05,"Low"))))</f>
        <v>High Risk</v>
      </c>
    </row>
    <row r="29" spans="1:14" ht="13.2">
      <c r="A29" s="8" t="s">
        <v>74</v>
      </c>
      <c r="B29" s="8" t="s">
        <v>75</v>
      </c>
      <c r="C29" s="9">
        <v>1099</v>
      </c>
      <c r="D29" s="9">
        <v>999</v>
      </c>
      <c r="E29" s="9">
        <v>1050</v>
      </c>
      <c r="F29" s="9" t="s">
        <v>20</v>
      </c>
      <c r="G29" s="9">
        <v>6</v>
      </c>
      <c r="H29" s="11">
        <f t="shared" si="0"/>
        <v>939.06</v>
      </c>
      <c r="I29" s="11">
        <f>VLOOKUP(A29,'Cleaned data'!A28:K58, 5, FALSE)</f>
        <v>850</v>
      </c>
      <c r="J29" s="11">
        <f t="shared" si="1"/>
        <v>89.059999999999945</v>
      </c>
      <c r="K29" s="15">
        <f t="shared" si="2"/>
        <v>9.4839520371435213E-2</v>
      </c>
      <c r="L29" s="11">
        <f t="shared" si="3"/>
        <v>-51</v>
      </c>
      <c r="M29" s="2" t="str">
        <f t="shared" si="4"/>
        <v>OK</v>
      </c>
      <c r="N29" s="13" t="str">
        <f>IF('Working sheet'!M29:M58 = "LOSS RISK", "CRITICAL",IF('Working sheet'!K29:K58 &lt;0.02,"High Risk",IF('Working sheet'!K29:K58&lt;0.05,"Medium", IF('Working sheet'!K29:K58&gt;0.05,"Low"))))</f>
        <v>Low</v>
      </c>
    </row>
    <row r="30" spans="1:14" ht="13.2">
      <c r="A30" s="8" t="s">
        <v>76</v>
      </c>
      <c r="B30" s="8" t="s">
        <v>77</v>
      </c>
      <c r="C30" s="9">
        <v>6799</v>
      </c>
      <c r="D30" s="9">
        <v>6499</v>
      </c>
      <c r="E30" s="9">
        <v>6550</v>
      </c>
      <c r="F30" s="9" t="s">
        <v>45</v>
      </c>
      <c r="G30" s="9">
        <v>5</v>
      </c>
      <c r="H30" s="11">
        <f t="shared" si="0"/>
        <v>6174.0499999999993</v>
      </c>
      <c r="I30" s="11">
        <f>VLOOKUP(A30,'Cleaned data'!A29:K59, 5, FALSE)</f>
        <v>6150</v>
      </c>
      <c r="J30" s="11">
        <f t="shared" si="1"/>
        <v>24.049999999999272</v>
      </c>
      <c r="K30" s="12">
        <f t="shared" si="2"/>
        <v>3.8953361245858513E-3</v>
      </c>
      <c r="L30" s="11">
        <f t="shared" si="3"/>
        <v>-51</v>
      </c>
      <c r="M30" s="2" t="str">
        <f t="shared" si="4"/>
        <v>Tight Margin</v>
      </c>
      <c r="N30" s="19" t="str">
        <f>IF('Working sheet'!M30:M59 = "LOSS RISK", "CRITICAL",IF('Working sheet'!K30:K59 &lt;0.02,"High Risk",IF('Working sheet'!K30:K59&lt;0.05,"Medium", IF('Working sheet'!K30:K59&gt;0.05,"Low"))))</f>
        <v>High Risk</v>
      </c>
    </row>
    <row r="31" spans="1:14" ht="13.2">
      <c r="A31" s="8" t="s">
        <v>78</v>
      </c>
      <c r="B31" s="8" t="s">
        <v>79</v>
      </c>
      <c r="C31" s="9">
        <v>3799</v>
      </c>
      <c r="D31" s="9">
        <v>3599</v>
      </c>
      <c r="E31" s="9">
        <v>3650</v>
      </c>
      <c r="F31" s="9" t="s">
        <v>15</v>
      </c>
      <c r="G31" s="9">
        <v>8</v>
      </c>
      <c r="H31" s="11">
        <f t="shared" si="0"/>
        <v>3311.08</v>
      </c>
      <c r="I31" s="11">
        <f>VLOOKUP(A31,'Cleaned data'!A30:K60, 5, FALSE)</f>
        <v>2950</v>
      </c>
      <c r="J31" s="11">
        <f t="shared" si="1"/>
        <v>361.07999999999993</v>
      </c>
      <c r="K31" s="15">
        <f t="shared" si="2"/>
        <v>0.10905203136136847</v>
      </c>
      <c r="L31" s="11">
        <f t="shared" si="3"/>
        <v>-51</v>
      </c>
      <c r="M31" s="2" t="str">
        <f t="shared" si="4"/>
        <v>OK</v>
      </c>
      <c r="N31" s="13" t="str">
        <f>IF('Working sheet'!M31:M60 = "LOSS RISK", "CRITICAL",IF('Working sheet'!K31:K60 &lt;0.02,"High Risk",IF('Working sheet'!K31:K60&lt;0.05,"Medium", IF('Working sheet'!K31:K60&gt;0.05,"Low"))))</f>
        <v>Low</v>
      </c>
    </row>
    <row r="32" spans="1:14" ht="13.2">
      <c r="C32" s="8"/>
      <c r="D32" s="8"/>
      <c r="E32" s="9"/>
      <c r="F32" s="9"/>
      <c r="G32" s="9"/>
      <c r="H32" s="9"/>
      <c r="I32" s="9"/>
      <c r="J32" s="9"/>
    </row>
    <row r="33" spans="1:10" ht="13.2">
      <c r="C33" s="8"/>
      <c r="D33" s="8"/>
      <c r="E33" s="9"/>
      <c r="F33" s="9"/>
      <c r="G33" s="9"/>
      <c r="H33" s="9"/>
      <c r="I33" s="9"/>
      <c r="J33" s="9"/>
    </row>
    <row r="39" spans="1:10" ht="13.2">
      <c r="A39" s="39"/>
      <c r="B39" s="40"/>
      <c r="C39" s="40"/>
    </row>
    <row r="40" spans="1:10" ht="13.2">
      <c r="A40" s="10"/>
    </row>
    <row r="41" spans="1:10" ht="13.2">
      <c r="A41" s="10"/>
    </row>
    <row r="54" spans="1:3" ht="15.75" customHeight="1">
      <c r="A54" s="40"/>
      <c r="B54" s="40"/>
      <c r="C54" s="40"/>
    </row>
    <row r="56" spans="1:3" ht="13.2">
      <c r="A56" s="41"/>
      <c r="B56" s="40"/>
      <c r="C56" s="40"/>
    </row>
    <row r="57" spans="1:3" ht="13.2">
      <c r="A57" s="41"/>
      <c r="B57" s="40"/>
      <c r="C57" s="40"/>
    </row>
  </sheetData>
  <mergeCells count="4">
    <mergeCell ref="A39:C39"/>
    <mergeCell ref="A54:C54"/>
    <mergeCell ref="A56:C56"/>
    <mergeCell ref="A57:C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60B2-2DB7-4CB5-874D-0D438B6C2DF2}">
  <dimension ref="A1:N31"/>
  <sheetViews>
    <sheetView workbookViewId="0">
      <selection sqref="A1:N31"/>
    </sheetView>
  </sheetViews>
  <sheetFormatPr defaultRowHeight="13.2"/>
  <cols>
    <col min="1" max="1" width="15" customWidth="1"/>
    <col min="2" max="2" width="9.88671875" customWidth="1"/>
    <col min="3" max="3" width="19.33203125" customWidth="1"/>
    <col min="4" max="4" width="18.33203125" customWidth="1"/>
    <col min="5" max="5" width="22.33203125" customWidth="1"/>
    <col min="6" max="6" width="10.21875" customWidth="1"/>
    <col min="7" max="7" width="17.5546875" customWidth="1"/>
    <col min="8" max="8" width="23.5546875" customWidth="1"/>
    <col min="9" max="9" width="16.6640625" customWidth="1"/>
    <col min="10" max="10" width="12.33203125" customWidth="1"/>
    <col min="11" max="11" width="12.44140625" customWidth="1"/>
    <col min="12" max="12" width="15.21875" customWidth="1"/>
    <col min="14" max="14" width="11.77734375" customWidth="1"/>
  </cols>
  <sheetData>
    <row r="1" spans="1:14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  <row r="2" spans="1:14">
      <c r="A2" t="s">
        <v>11</v>
      </c>
      <c r="B2" t="s">
        <v>12</v>
      </c>
      <c r="C2">
        <v>2199</v>
      </c>
      <c r="D2">
        <v>2099</v>
      </c>
      <c r="E2">
        <v>2088</v>
      </c>
      <c r="F2" t="s">
        <v>15</v>
      </c>
      <c r="G2">
        <v>8</v>
      </c>
      <c r="H2">
        <v>1931.0800000000002</v>
      </c>
      <c r="I2">
        <v>1850</v>
      </c>
      <c r="J2">
        <v>81.080000000000155</v>
      </c>
      <c r="K2">
        <v>4.1986867452410127E-2</v>
      </c>
      <c r="L2">
        <v>11</v>
      </c>
      <c r="M2" t="s">
        <v>107</v>
      </c>
      <c r="N2" t="s">
        <v>116</v>
      </c>
    </row>
    <row r="3" spans="1:14">
      <c r="A3" t="s">
        <v>16</v>
      </c>
      <c r="B3" t="s">
        <v>17</v>
      </c>
      <c r="C3">
        <v>1699</v>
      </c>
      <c r="D3">
        <v>1599</v>
      </c>
      <c r="E3">
        <v>1588</v>
      </c>
      <c r="F3" t="s">
        <v>20</v>
      </c>
      <c r="G3">
        <v>6</v>
      </c>
      <c r="H3">
        <v>1503.06</v>
      </c>
      <c r="I3">
        <v>1350</v>
      </c>
      <c r="J3">
        <v>153.05999999999995</v>
      </c>
      <c r="K3">
        <v>0.10183226218514228</v>
      </c>
      <c r="L3">
        <v>11</v>
      </c>
      <c r="M3" t="s">
        <v>121</v>
      </c>
      <c r="N3" t="s">
        <v>122</v>
      </c>
    </row>
    <row r="4" spans="1:14">
      <c r="A4" t="s">
        <v>21</v>
      </c>
      <c r="B4" t="s">
        <v>22</v>
      </c>
      <c r="C4">
        <v>3899</v>
      </c>
      <c r="D4">
        <v>3699</v>
      </c>
      <c r="E4">
        <v>3750</v>
      </c>
      <c r="F4" t="s">
        <v>23</v>
      </c>
      <c r="G4">
        <v>5</v>
      </c>
      <c r="H4">
        <v>3514.0499999999997</v>
      </c>
      <c r="I4">
        <v>3250</v>
      </c>
      <c r="J4">
        <v>264.04999999999973</v>
      </c>
      <c r="K4">
        <v>7.5141218821587558E-2</v>
      </c>
      <c r="L4">
        <v>-51</v>
      </c>
      <c r="M4" t="s">
        <v>107</v>
      </c>
      <c r="N4" t="s">
        <v>122</v>
      </c>
    </row>
    <row r="5" spans="1:14">
      <c r="A5" t="s">
        <v>24</v>
      </c>
      <c r="B5" t="s">
        <v>25</v>
      </c>
      <c r="C5">
        <v>2999</v>
      </c>
      <c r="D5">
        <v>2799</v>
      </c>
      <c r="E5">
        <v>2850</v>
      </c>
      <c r="F5" t="s">
        <v>26</v>
      </c>
      <c r="G5">
        <v>0</v>
      </c>
      <c r="H5">
        <v>2799</v>
      </c>
      <c r="I5">
        <v>2450</v>
      </c>
      <c r="J5">
        <v>349</v>
      </c>
      <c r="K5">
        <v>0.12468738835298321</v>
      </c>
      <c r="L5">
        <v>-51</v>
      </c>
      <c r="M5" t="s">
        <v>121</v>
      </c>
      <c r="N5" t="s">
        <v>122</v>
      </c>
    </row>
    <row r="6" spans="1:14">
      <c r="A6" t="s">
        <v>27</v>
      </c>
      <c r="B6" t="s">
        <v>28</v>
      </c>
      <c r="C6">
        <v>4599</v>
      </c>
      <c r="D6">
        <v>4399</v>
      </c>
      <c r="E6">
        <v>4300</v>
      </c>
      <c r="F6" t="s">
        <v>15</v>
      </c>
      <c r="G6">
        <v>8</v>
      </c>
      <c r="H6">
        <v>4047.0800000000004</v>
      </c>
      <c r="I6">
        <v>3950</v>
      </c>
      <c r="J6">
        <v>97.080000000000382</v>
      </c>
      <c r="K6">
        <v>2.3987665180821821E-2</v>
      </c>
      <c r="L6">
        <v>99</v>
      </c>
      <c r="M6" t="s">
        <v>107</v>
      </c>
      <c r="N6" t="s">
        <v>116</v>
      </c>
    </row>
    <row r="7" spans="1:14">
      <c r="A7" t="s">
        <v>29</v>
      </c>
      <c r="B7" t="s">
        <v>30</v>
      </c>
      <c r="C7">
        <v>2399</v>
      </c>
      <c r="D7">
        <v>2199</v>
      </c>
      <c r="E7">
        <v>2250</v>
      </c>
      <c r="F7" t="s">
        <v>20</v>
      </c>
      <c r="G7">
        <v>6</v>
      </c>
      <c r="H7">
        <v>2067.06</v>
      </c>
      <c r="I7">
        <v>2000</v>
      </c>
      <c r="J7">
        <v>67.059999999999945</v>
      </c>
      <c r="K7">
        <v>3.2442212611148179E-2</v>
      </c>
      <c r="L7">
        <v>-51</v>
      </c>
      <c r="M7" t="s">
        <v>107</v>
      </c>
      <c r="N7" t="s">
        <v>116</v>
      </c>
    </row>
    <row r="8" spans="1:14">
      <c r="A8" t="s">
        <v>31</v>
      </c>
      <c r="B8" t="s">
        <v>32</v>
      </c>
      <c r="C8">
        <v>1399</v>
      </c>
      <c r="D8">
        <v>1299</v>
      </c>
      <c r="E8">
        <v>1250</v>
      </c>
      <c r="F8" t="s">
        <v>15</v>
      </c>
      <c r="G8">
        <v>8</v>
      </c>
      <c r="H8">
        <v>1195.0800000000002</v>
      </c>
      <c r="I8">
        <v>1150</v>
      </c>
      <c r="J8">
        <v>45.080000000000155</v>
      </c>
      <c r="K8">
        <v>3.772132409545817E-2</v>
      </c>
      <c r="L8">
        <v>49</v>
      </c>
      <c r="M8" t="s">
        <v>107</v>
      </c>
      <c r="N8" t="s">
        <v>116</v>
      </c>
    </row>
    <row r="9" spans="1:14">
      <c r="A9" t="s">
        <v>33</v>
      </c>
      <c r="B9" t="s">
        <v>34</v>
      </c>
      <c r="C9">
        <v>3299</v>
      </c>
      <c r="D9">
        <v>3099</v>
      </c>
      <c r="E9">
        <v>3150</v>
      </c>
      <c r="F9" t="s">
        <v>23</v>
      </c>
      <c r="G9">
        <v>5</v>
      </c>
      <c r="H9">
        <v>2944.0499999999997</v>
      </c>
      <c r="I9">
        <v>2750</v>
      </c>
      <c r="J9">
        <v>194.04999999999973</v>
      </c>
      <c r="K9">
        <v>6.5912603386491311E-2</v>
      </c>
      <c r="L9">
        <v>-51</v>
      </c>
      <c r="M9" t="s">
        <v>107</v>
      </c>
      <c r="N9" t="s">
        <v>122</v>
      </c>
    </row>
    <row r="10" spans="1:14">
      <c r="A10" t="s">
        <v>35</v>
      </c>
      <c r="B10" t="s">
        <v>36</v>
      </c>
      <c r="C10">
        <v>2499</v>
      </c>
      <c r="D10">
        <v>2299</v>
      </c>
      <c r="E10">
        <v>2350</v>
      </c>
      <c r="F10" t="s">
        <v>20</v>
      </c>
      <c r="G10">
        <v>6</v>
      </c>
      <c r="H10">
        <v>2161.06</v>
      </c>
      <c r="I10">
        <v>2050</v>
      </c>
      <c r="J10">
        <v>111.05999999999995</v>
      </c>
      <c r="K10">
        <v>5.1391446790001176E-2</v>
      </c>
      <c r="L10">
        <v>-51</v>
      </c>
      <c r="M10" t="s">
        <v>107</v>
      </c>
      <c r="N10" t="s">
        <v>122</v>
      </c>
    </row>
    <row r="11" spans="1:14">
      <c r="A11" t="s">
        <v>37</v>
      </c>
      <c r="B11" t="s">
        <v>38</v>
      </c>
      <c r="C11">
        <v>5299</v>
      </c>
      <c r="D11">
        <v>4999</v>
      </c>
      <c r="E11">
        <v>5050</v>
      </c>
      <c r="F11" t="s">
        <v>26</v>
      </c>
      <c r="G11">
        <v>0</v>
      </c>
      <c r="H11">
        <v>4999</v>
      </c>
      <c r="I11">
        <v>4450</v>
      </c>
      <c r="J11">
        <v>549</v>
      </c>
      <c r="K11">
        <v>0.10982196439287857</v>
      </c>
      <c r="L11">
        <v>-51</v>
      </c>
      <c r="M11" t="s">
        <v>121</v>
      </c>
      <c r="N11" t="s">
        <v>122</v>
      </c>
    </row>
    <row r="12" spans="1:14">
      <c r="A12" t="s">
        <v>39</v>
      </c>
      <c r="B12" t="s">
        <v>40</v>
      </c>
      <c r="C12">
        <v>5399</v>
      </c>
      <c r="D12">
        <v>5099</v>
      </c>
      <c r="E12">
        <v>5150</v>
      </c>
      <c r="F12" t="s">
        <v>15</v>
      </c>
      <c r="G12">
        <v>8</v>
      </c>
      <c r="H12">
        <v>4691.08</v>
      </c>
      <c r="I12">
        <v>4750</v>
      </c>
      <c r="J12">
        <v>-58.920000000000073</v>
      </c>
      <c r="K12">
        <v>-1.2560007503602597E-2</v>
      </c>
      <c r="L12">
        <v>-51</v>
      </c>
      <c r="M12" t="s">
        <v>105</v>
      </c>
      <c r="N12" t="s">
        <v>106</v>
      </c>
    </row>
    <row r="13" spans="1:14">
      <c r="A13" t="s">
        <v>41</v>
      </c>
      <c r="B13" t="s">
        <v>42</v>
      </c>
      <c r="C13">
        <v>1899</v>
      </c>
      <c r="D13">
        <v>1799</v>
      </c>
      <c r="E13">
        <v>1750</v>
      </c>
      <c r="F13" t="s">
        <v>20</v>
      </c>
      <c r="G13">
        <v>6</v>
      </c>
      <c r="H13">
        <v>1691.06</v>
      </c>
      <c r="I13">
        <v>1550</v>
      </c>
      <c r="J13">
        <v>141.05999999999995</v>
      </c>
      <c r="K13">
        <v>8.3415136068501386E-2</v>
      </c>
      <c r="L13">
        <v>49</v>
      </c>
      <c r="M13" t="s">
        <v>121</v>
      </c>
      <c r="N13" t="s">
        <v>122</v>
      </c>
    </row>
    <row r="14" spans="1:14">
      <c r="A14" t="s">
        <v>43</v>
      </c>
      <c r="B14" t="s">
        <v>44</v>
      </c>
      <c r="C14">
        <v>4299</v>
      </c>
      <c r="D14">
        <v>4099</v>
      </c>
      <c r="E14">
        <v>4150</v>
      </c>
      <c r="F14" t="s">
        <v>23</v>
      </c>
      <c r="G14">
        <v>5</v>
      </c>
      <c r="H14">
        <v>3894.0499999999997</v>
      </c>
      <c r="I14">
        <v>3650</v>
      </c>
      <c r="J14">
        <v>244.04999999999973</v>
      </c>
      <c r="K14">
        <v>6.2672538873409372E-2</v>
      </c>
      <c r="L14">
        <v>-51</v>
      </c>
      <c r="M14" t="s">
        <v>107</v>
      </c>
      <c r="N14" t="s">
        <v>122</v>
      </c>
    </row>
    <row r="15" spans="1:14">
      <c r="A15" t="s">
        <v>46</v>
      </c>
      <c r="B15" t="s">
        <v>47</v>
      </c>
      <c r="C15">
        <v>4899</v>
      </c>
      <c r="D15">
        <v>4599</v>
      </c>
      <c r="E15">
        <v>4650</v>
      </c>
      <c r="F15" t="s">
        <v>26</v>
      </c>
      <c r="G15">
        <v>0</v>
      </c>
      <c r="H15">
        <v>4599</v>
      </c>
      <c r="I15">
        <v>3950</v>
      </c>
      <c r="J15">
        <v>649</v>
      </c>
      <c r="K15">
        <v>0.14111763426831919</v>
      </c>
      <c r="L15">
        <v>-51</v>
      </c>
      <c r="M15" t="s">
        <v>121</v>
      </c>
      <c r="N15" t="s">
        <v>122</v>
      </c>
    </row>
    <row r="16" spans="1:14">
      <c r="A16" t="s">
        <v>48</v>
      </c>
      <c r="B16" t="s">
        <v>49</v>
      </c>
      <c r="C16">
        <v>4899</v>
      </c>
      <c r="D16">
        <v>4699</v>
      </c>
      <c r="E16">
        <v>4750</v>
      </c>
      <c r="F16" t="s">
        <v>15</v>
      </c>
      <c r="G16">
        <v>8</v>
      </c>
      <c r="H16">
        <v>4323.08</v>
      </c>
      <c r="I16">
        <v>4250</v>
      </c>
      <c r="J16">
        <v>73.079999999999927</v>
      </c>
      <c r="K16">
        <v>1.6904614302765603E-2</v>
      </c>
      <c r="L16">
        <v>-51</v>
      </c>
      <c r="M16" t="s">
        <v>107</v>
      </c>
      <c r="N16" t="s">
        <v>108</v>
      </c>
    </row>
    <row r="17" spans="1:14">
      <c r="A17" t="s">
        <v>50</v>
      </c>
      <c r="B17" t="s">
        <v>51</v>
      </c>
      <c r="C17">
        <v>1299</v>
      </c>
      <c r="D17">
        <v>1199</v>
      </c>
      <c r="E17">
        <v>1150</v>
      </c>
      <c r="F17" t="s">
        <v>20</v>
      </c>
      <c r="G17">
        <v>6</v>
      </c>
      <c r="H17">
        <v>1127.06</v>
      </c>
      <c r="I17">
        <v>950</v>
      </c>
      <c r="J17">
        <v>177.05999999999995</v>
      </c>
      <c r="K17">
        <v>0.15709900094050003</v>
      </c>
      <c r="L17">
        <v>49</v>
      </c>
      <c r="M17" t="s">
        <v>121</v>
      </c>
      <c r="N17" t="s">
        <v>122</v>
      </c>
    </row>
    <row r="18" spans="1:14">
      <c r="A18" t="s">
        <v>52</v>
      </c>
      <c r="B18" t="s">
        <v>53</v>
      </c>
      <c r="C18">
        <v>6299</v>
      </c>
      <c r="D18">
        <v>5999</v>
      </c>
      <c r="E18">
        <v>6050</v>
      </c>
      <c r="F18" t="s">
        <v>23</v>
      </c>
      <c r="G18">
        <v>5</v>
      </c>
      <c r="H18">
        <v>5699.05</v>
      </c>
      <c r="I18">
        <v>5650</v>
      </c>
      <c r="J18">
        <v>49.050000000000182</v>
      </c>
      <c r="K18">
        <v>8.606697607496017E-3</v>
      </c>
      <c r="L18">
        <v>-51</v>
      </c>
      <c r="M18" t="s">
        <v>107</v>
      </c>
      <c r="N18" t="s">
        <v>108</v>
      </c>
    </row>
    <row r="19" spans="1:14">
      <c r="A19" t="s">
        <v>54</v>
      </c>
      <c r="B19" t="s">
        <v>55</v>
      </c>
      <c r="C19">
        <v>3299</v>
      </c>
      <c r="D19">
        <v>3099</v>
      </c>
      <c r="E19">
        <v>3120</v>
      </c>
      <c r="F19" t="s">
        <v>15</v>
      </c>
      <c r="G19">
        <v>8</v>
      </c>
      <c r="H19">
        <v>2851.08</v>
      </c>
      <c r="I19">
        <v>2650</v>
      </c>
      <c r="J19">
        <v>201.07999999999993</v>
      </c>
      <c r="K19">
        <v>7.052765969387037E-2</v>
      </c>
      <c r="L19">
        <v>-21</v>
      </c>
      <c r="M19" t="s">
        <v>107</v>
      </c>
      <c r="N19" t="s">
        <v>122</v>
      </c>
    </row>
    <row r="20" spans="1:14">
      <c r="A20" t="s">
        <v>56</v>
      </c>
      <c r="B20" t="s">
        <v>57</v>
      </c>
      <c r="C20">
        <v>2999</v>
      </c>
      <c r="D20">
        <v>2799</v>
      </c>
      <c r="E20">
        <v>2850</v>
      </c>
      <c r="F20" t="s">
        <v>20</v>
      </c>
      <c r="G20">
        <v>6</v>
      </c>
      <c r="H20">
        <v>2631.06</v>
      </c>
      <c r="I20">
        <v>2550</v>
      </c>
      <c r="J20">
        <v>81.059999999999945</v>
      </c>
      <c r="K20">
        <v>3.0808875510250602E-2</v>
      </c>
      <c r="L20">
        <v>-51</v>
      </c>
      <c r="M20" t="s">
        <v>107</v>
      </c>
      <c r="N20" t="s">
        <v>116</v>
      </c>
    </row>
    <row r="21" spans="1:14">
      <c r="A21" t="s">
        <v>58</v>
      </c>
      <c r="B21" t="s">
        <v>59</v>
      </c>
      <c r="C21">
        <v>1599</v>
      </c>
      <c r="D21">
        <v>1499</v>
      </c>
      <c r="E21">
        <v>1480</v>
      </c>
      <c r="F21" t="s">
        <v>26</v>
      </c>
      <c r="G21">
        <v>0</v>
      </c>
      <c r="H21">
        <v>1499</v>
      </c>
      <c r="I21">
        <v>1250</v>
      </c>
      <c r="J21">
        <v>249</v>
      </c>
      <c r="K21">
        <v>0.16611074049366245</v>
      </c>
      <c r="L21">
        <v>19</v>
      </c>
      <c r="M21" t="s">
        <v>121</v>
      </c>
      <c r="N21" t="s">
        <v>122</v>
      </c>
    </row>
    <row r="22" spans="1:14">
      <c r="A22" t="s">
        <v>60</v>
      </c>
      <c r="B22" t="s">
        <v>61</v>
      </c>
      <c r="C22">
        <v>5499</v>
      </c>
      <c r="D22">
        <v>5199</v>
      </c>
      <c r="E22">
        <v>5250</v>
      </c>
      <c r="F22" t="s">
        <v>15</v>
      </c>
      <c r="G22">
        <v>8</v>
      </c>
      <c r="H22">
        <v>4783.08</v>
      </c>
      <c r="I22">
        <v>4850</v>
      </c>
      <c r="J22">
        <v>-66.920000000000073</v>
      </c>
      <c r="K22">
        <v>-1.3990984888398285E-2</v>
      </c>
      <c r="L22">
        <v>-51</v>
      </c>
      <c r="M22" t="s">
        <v>105</v>
      </c>
      <c r="N22" t="s">
        <v>106</v>
      </c>
    </row>
    <row r="23" spans="1:14">
      <c r="A23" t="s">
        <v>62</v>
      </c>
      <c r="B23" t="s">
        <v>63</v>
      </c>
      <c r="C23">
        <v>2699</v>
      </c>
      <c r="D23">
        <v>2499</v>
      </c>
      <c r="E23">
        <v>2550</v>
      </c>
      <c r="F23" t="s">
        <v>20</v>
      </c>
      <c r="G23">
        <v>6</v>
      </c>
      <c r="H23">
        <v>2349.06</v>
      </c>
      <c r="I23">
        <v>2150</v>
      </c>
      <c r="J23">
        <v>199.05999999999995</v>
      </c>
      <c r="K23">
        <v>8.4740279090359527E-2</v>
      </c>
      <c r="L23">
        <v>-51</v>
      </c>
      <c r="M23" t="s">
        <v>121</v>
      </c>
      <c r="N23" t="s">
        <v>122</v>
      </c>
    </row>
    <row r="24" spans="1:14">
      <c r="A24" t="s">
        <v>64</v>
      </c>
      <c r="B24" t="s">
        <v>65</v>
      </c>
      <c r="C24">
        <v>5799</v>
      </c>
      <c r="D24">
        <v>5499</v>
      </c>
      <c r="E24">
        <v>5550</v>
      </c>
      <c r="F24" t="s">
        <v>23</v>
      </c>
      <c r="G24">
        <v>5</v>
      </c>
      <c r="H24">
        <v>5224.05</v>
      </c>
      <c r="I24">
        <v>5150</v>
      </c>
      <c r="J24">
        <v>74.050000000000182</v>
      </c>
      <c r="K24">
        <v>1.4174826044926862E-2</v>
      </c>
      <c r="L24">
        <v>-51</v>
      </c>
      <c r="M24" t="s">
        <v>107</v>
      </c>
      <c r="N24" t="s">
        <v>108</v>
      </c>
    </row>
    <row r="25" spans="1:14">
      <c r="A25" t="s">
        <v>66</v>
      </c>
      <c r="B25" t="s">
        <v>67</v>
      </c>
      <c r="C25">
        <v>1699</v>
      </c>
      <c r="D25">
        <v>1599</v>
      </c>
      <c r="E25">
        <v>1580</v>
      </c>
      <c r="F25" t="s">
        <v>15</v>
      </c>
      <c r="G25">
        <v>8</v>
      </c>
      <c r="H25">
        <v>1471.0800000000002</v>
      </c>
      <c r="I25">
        <v>1350</v>
      </c>
      <c r="J25">
        <v>121.08000000000015</v>
      </c>
      <c r="K25">
        <v>8.2306876580471589E-2</v>
      </c>
      <c r="L25">
        <v>19</v>
      </c>
      <c r="M25" t="s">
        <v>121</v>
      </c>
      <c r="N25" t="s">
        <v>122</v>
      </c>
    </row>
    <row r="26" spans="1:14">
      <c r="A26" t="s">
        <v>68</v>
      </c>
      <c r="B26" t="s">
        <v>69</v>
      </c>
      <c r="C26">
        <v>3599</v>
      </c>
      <c r="D26">
        <v>3399</v>
      </c>
      <c r="E26">
        <v>3450</v>
      </c>
      <c r="F26" t="s">
        <v>20</v>
      </c>
      <c r="G26">
        <v>6</v>
      </c>
      <c r="H26">
        <v>3195.06</v>
      </c>
      <c r="I26">
        <v>2950</v>
      </c>
      <c r="J26">
        <v>245.05999999999995</v>
      </c>
      <c r="K26">
        <v>7.6699655092549113E-2</v>
      </c>
      <c r="L26">
        <v>-51</v>
      </c>
      <c r="M26" t="s">
        <v>107</v>
      </c>
      <c r="N26" t="s">
        <v>122</v>
      </c>
    </row>
    <row r="27" spans="1:14">
      <c r="A27" t="s">
        <v>70</v>
      </c>
      <c r="B27" t="s">
        <v>71</v>
      </c>
      <c r="C27">
        <v>4999</v>
      </c>
      <c r="D27">
        <v>4699</v>
      </c>
      <c r="E27">
        <v>4750</v>
      </c>
      <c r="F27" t="s">
        <v>26</v>
      </c>
      <c r="G27">
        <v>0</v>
      </c>
      <c r="H27">
        <v>4699</v>
      </c>
      <c r="I27">
        <v>4250</v>
      </c>
      <c r="J27">
        <v>449</v>
      </c>
      <c r="K27">
        <v>9.5552245158544366E-2</v>
      </c>
      <c r="L27">
        <v>-51</v>
      </c>
      <c r="M27" t="s">
        <v>121</v>
      </c>
      <c r="N27" t="s">
        <v>122</v>
      </c>
    </row>
    <row r="28" spans="1:14">
      <c r="A28" t="s">
        <v>72</v>
      </c>
      <c r="B28" t="s">
        <v>73</v>
      </c>
      <c r="C28">
        <v>5299</v>
      </c>
      <c r="D28">
        <v>5099</v>
      </c>
      <c r="E28">
        <v>5150</v>
      </c>
      <c r="F28" t="s">
        <v>15</v>
      </c>
      <c r="G28">
        <v>8</v>
      </c>
      <c r="H28">
        <v>4691.08</v>
      </c>
      <c r="I28">
        <v>4650</v>
      </c>
      <c r="J28">
        <v>41.079999999999927</v>
      </c>
      <c r="K28">
        <v>8.7570452859469308E-3</v>
      </c>
      <c r="L28">
        <v>-51</v>
      </c>
      <c r="M28" t="s">
        <v>107</v>
      </c>
      <c r="N28" t="s">
        <v>108</v>
      </c>
    </row>
    <row r="29" spans="1:14">
      <c r="A29" t="s">
        <v>74</v>
      </c>
      <c r="B29" t="s">
        <v>75</v>
      </c>
      <c r="C29">
        <v>1099</v>
      </c>
      <c r="D29">
        <v>999</v>
      </c>
      <c r="E29">
        <v>1050</v>
      </c>
      <c r="F29" t="s">
        <v>20</v>
      </c>
      <c r="G29">
        <v>6</v>
      </c>
      <c r="H29">
        <v>939.06</v>
      </c>
      <c r="I29">
        <v>850</v>
      </c>
      <c r="J29">
        <v>89.059999999999945</v>
      </c>
      <c r="K29">
        <v>9.4839520371435213E-2</v>
      </c>
      <c r="L29">
        <v>-51</v>
      </c>
      <c r="M29" t="s">
        <v>121</v>
      </c>
      <c r="N29" t="s">
        <v>122</v>
      </c>
    </row>
    <row r="30" spans="1:14">
      <c r="A30" t="s">
        <v>76</v>
      </c>
      <c r="B30" t="s">
        <v>77</v>
      </c>
      <c r="C30">
        <v>6799</v>
      </c>
      <c r="D30">
        <v>6499</v>
      </c>
      <c r="E30">
        <v>6550</v>
      </c>
      <c r="F30" t="s">
        <v>23</v>
      </c>
      <c r="G30">
        <v>5</v>
      </c>
      <c r="H30">
        <v>6174.0499999999993</v>
      </c>
      <c r="I30">
        <v>6150</v>
      </c>
      <c r="J30">
        <v>24.049999999999272</v>
      </c>
      <c r="K30">
        <v>3.8953361245858513E-3</v>
      </c>
      <c r="L30">
        <v>-51</v>
      </c>
      <c r="M30" t="s">
        <v>107</v>
      </c>
      <c r="N30" t="s">
        <v>108</v>
      </c>
    </row>
    <row r="31" spans="1:14">
      <c r="A31" t="s">
        <v>78</v>
      </c>
      <c r="B31" t="s">
        <v>79</v>
      </c>
      <c r="C31">
        <v>3799</v>
      </c>
      <c r="D31">
        <v>3599</v>
      </c>
      <c r="E31">
        <v>3650</v>
      </c>
      <c r="F31" t="s">
        <v>15</v>
      </c>
      <c r="G31">
        <v>8</v>
      </c>
      <c r="H31">
        <v>3311.08</v>
      </c>
      <c r="I31">
        <v>2950</v>
      </c>
      <c r="J31">
        <v>361.07999999999993</v>
      </c>
      <c r="K31">
        <v>0.10905203136136847</v>
      </c>
      <c r="L31">
        <v>-51</v>
      </c>
      <c r="M31" t="s">
        <v>121</v>
      </c>
      <c r="N31" t="s">
        <v>122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3AFD-0A04-41B3-8F3C-FEAD0E1DDA07}">
  <dimension ref="A1:N31"/>
  <sheetViews>
    <sheetView workbookViewId="0">
      <selection sqref="A1:N31"/>
    </sheetView>
  </sheetViews>
  <sheetFormatPr defaultRowHeight="13.2"/>
  <cols>
    <col min="1" max="1" width="15" customWidth="1"/>
    <col min="2" max="2" width="9.88671875" customWidth="1"/>
    <col min="3" max="3" width="19.33203125" customWidth="1"/>
    <col min="4" max="4" width="18.33203125" customWidth="1"/>
    <col min="5" max="5" width="22.33203125" customWidth="1"/>
    <col min="6" max="6" width="10.21875" customWidth="1"/>
    <col min="7" max="7" width="17.5546875" customWidth="1"/>
    <col min="8" max="8" width="23.5546875" customWidth="1"/>
    <col min="9" max="9" width="16.6640625" customWidth="1"/>
    <col min="10" max="10" width="12.33203125" customWidth="1"/>
    <col min="11" max="11" width="12.44140625" customWidth="1"/>
    <col min="12" max="12" width="15.21875" customWidth="1"/>
    <col min="14" max="14" width="11.77734375" customWidth="1"/>
  </cols>
  <sheetData>
    <row r="1" spans="1:14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  <row r="2" spans="1:14">
      <c r="A2" t="s">
        <v>11</v>
      </c>
      <c r="B2" t="s">
        <v>12</v>
      </c>
      <c r="C2">
        <v>2199</v>
      </c>
      <c r="D2">
        <v>2099</v>
      </c>
      <c r="E2">
        <v>2088</v>
      </c>
      <c r="F2" t="s">
        <v>15</v>
      </c>
      <c r="G2">
        <v>8</v>
      </c>
      <c r="H2">
        <v>1931.0800000000002</v>
      </c>
      <c r="I2">
        <v>1850</v>
      </c>
      <c r="J2">
        <v>81.080000000000155</v>
      </c>
      <c r="K2">
        <v>4.1986867452410127E-2</v>
      </c>
      <c r="L2">
        <v>11</v>
      </c>
      <c r="M2" t="s">
        <v>107</v>
      </c>
      <c r="N2" t="s">
        <v>116</v>
      </c>
    </row>
    <row r="3" spans="1:14">
      <c r="A3" t="s">
        <v>16</v>
      </c>
      <c r="B3" t="s">
        <v>17</v>
      </c>
      <c r="C3">
        <v>1699</v>
      </c>
      <c r="D3">
        <v>1599</v>
      </c>
      <c r="E3">
        <v>1588</v>
      </c>
      <c r="F3" t="s">
        <v>20</v>
      </c>
      <c r="G3">
        <v>6</v>
      </c>
      <c r="H3">
        <v>1503.06</v>
      </c>
      <c r="I3">
        <v>1350</v>
      </c>
      <c r="J3">
        <v>153.05999999999995</v>
      </c>
      <c r="K3">
        <v>0.10183226218514228</v>
      </c>
      <c r="L3">
        <v>11</v>
      </c>
      <c r="M3" t="s">
        <v>121</v>
      </c>
      <c r="N3" t="s">
        <v>122</v>
      </c>
    </row>
    <row r="4" spans="1:14">
      <c r="A4" t="s">
        <v>21</v>
      </c>
      <c r="B4" t="s">
        <v>22</v>
      </c>
      <c r="C4">
        <v>3899</v>
      </c>
      <c r="D4">
        <v>3699</v>
      </c>
      <c r="E4">
        <v>3750</v>
      </c>
      <c r="F4" t="s">
        <v>23</v>
      </c>
      <c r="G4">
        <v>5</v>
      </c>
      <c r="H4">
        <v>3514.0499999999997</v>
      </c>
      <c r="I4">
        <v>3250</v>
      </c>
      <c r="J4">
        <v>264.04999999999973</v>
      </c>
      <c r="K4">
        <v>7.5141218821587558E-2</v>
      </c>
      <c r="L4">
        <v>-51</v>
      </c>
      <c r="M4" t="s">
        <v>107</v>
      </c>
      <c r="N4" t="s">
        <v>122</v>
      </c>
    </row>
    <row r="5" spans="1:14">
      <c r="A5" t="s">
        <v>24</v>
      </c>
      <c r="B5" t="s">
        <v>25</v>
      </c>
      <c r="C5">
        <v>2999</v>
      </c>
      <c r="D5">
        <v>2799</v>
      </c>
      <c r="E5">
        <v>2850</v>
      </c>
      <c r="F5" t="s">
        <v>26</v>
      </c>
      <c r="G5">
        <v>0</v>
      </c>
      <c r="H5">
        <v>2799</v>
      </c>
      <c r="I5">
        <v>2450</v>
      </c>
      <c r="J5">
        <v>349</v>
      </c>
      <c r="K5">
        <v>0.12468738835298321</v>
      </c>
      <c r="L5">
        <v>-51</v>
      </c>
      <c r="M5" t="s">
        <v>121</v>
      </c>
      <c r="N5" t="s">
        <v>122</v>
      </c>
    </row>
    <row r="6" spans="1:14">
      <c r="A6" t="s">
        <v>27</v>
      </c>
      <c r="B6" t="s">
        <v>28</v>
      </c>
      <c r="C6">
        <v>4599</v>
      </c>
      <c r="D6">
        <v>4399</v>
      </c>
      <c r="E6">
        <v>4300</v>
      </c>
      <c r="F6" t="s">
        <v>15</v>
      </c>
      <c r="G6">
        <v>8</v>
      </c>
      <c r="H6">
        <v>4047.0800000000004</v>
      </c>
      <c r="I6">
        <v>3950</v>
      </c>
      <c r="J6">
        <v>97.080000000000382</v>
      </c>
      <c r="K6">
        <v>2.3987665180821821E-2</v>
      </c>
      <c r="L6">
        <v>99</v>
      </c>
      <c r="M6" t="s">
        <v>107</v>
      </c>
      <c r="N6" t="s">
        <v>116</v>
      </c>
    </row>
    <row r="7" spans="1:14">
      <c r="A7" t="s">
        <v>29</v>
      </c>
      <c r="B7" t="s">
        <v>30</v>
      </c>
      <c r="C7">
        <v>2399</v>
      </c>
      <c r="D7">
        <v>2199</v>
      </c>
      <c r="E7">
        <v>2250</v>
      </c>
      <c r="F7" t="s">
        <v>20</v>
      </c>
      <c r="G7">
        <v>6</v>
      </c>
      <c r="H7">
        <v>2067.06</v>
      </c>
      <c r="I7">
        <v>2000</v>
      </c>
      <c r="J7">
        <v>67.059999999999945</v>
      </c>
      <c r="K7">
        <v>3.2442212611148179E-2</v>
      </c>
      <c r="L7">
        <v>-51</v>
      </c>
      <c r="M7" t="s">
        <v>107</v>
      </c>
      <c r="N7" t="s">
        <v>116</v>
      </c>
    </row>
    <row r="8" spans="1:14">
      <c r="A8" t="s">
        <v>31</v>
      </c>
      <c r="B8" t="s">
        <v>32</v>
      </c>
      <c r="C8">
        <v>1399</v>
      </c>
      <c r="D8">
        <v>1299</v>
      </c>
      <c r="E8">
        <v>1250</v>
      </c>
      <c r="F8" t="s">
        <v>15</v>
      </c>
      <c r="G8">
        <v>8</v>
      </c>
      <c r="H8">
        <v>1195.0800000000002</v>
      </c>
      <c r="I8">
        <v>1150</v>
      </c>
      <c r="J8">
        <v>45.080000000000155</v>
      </c>
      <c r="K8">
        <v>3.772132409545817E-2</v>
      </c>
      <c r="L8">
        <v>49</v>
      </c>
      <c r="M8" t="s">
        <v>107</v>
      </c>
      <c r="N8" t="s">
        <v>116</v>
      </c>
    </row>
    <row r="9" spans="1:14">
      <c r="A9" t="s">
        <v>33</v>
      </c>
      <c r="B9" t="s">
        <v>34</v>
      </c>
      <c r="C9">
        <v>3299</v>
      </c>
      <c r="D9">
        <v>3099</v>
      </c>
      <c r="E9">
        <v>3150</v>
      </c>
      <c r="F9" t="s">
        <v>23</v>
      </c>
      <c r="G9">
        <v>5</v>
      </c>
      <c r="H9">
        <v>2944.0499999999997</v>
      </c>
      <c r="I9">
        <v>2750</v>
      </c>
      <c r="J9">
        <v>194.04999999999973</v>
      </c>
      <c r="K9">
        <v>6.5912603386491311E-2</v>
      </c>
      <c r="L9">
        <v>-51</v>
      </c>
      <c r="M9" t="s">
        <v>107</v>
      </c>
      <c r="N9" t="s">
        <v>122</v>
      </c>
    </row>
    <row r="10" spans="1:14">
      <c r="A10" t="s">
        <v>35</v>
      </c>
      <c r="B10" t="s">
        <v>36</v>
      </c>
      <c r="C10">
        <v>2499</v>
      </c>
      <c r="D10">
        <v>2299</v>
      </c>
      <c r="E10">
        <v>2350</v>
      </c>
      <c r="F10" t="s">
        <v>20</v>
      </c>
      <c r="G10">
        <v>6</v>
      </c>
      <c r="H10">
        <v>2161.06</v>
      </c>
      <c r="I10">
        <v>2050</v>
      </c>
      <c r="J10">
        <v>111.05999999999995</v>
      </c>
      <c r="K10">
        <v>5.1391446790001176E-2</v>
      </c>
      <c r="L10">
        <v>-51</v>
      </c>
      <c r="M10" t="s">
        <v>107</v>
      </c>
      <c r="N10" t="s">
        <v>122</v>
      </c>
    </row>
    <row r="11" spans="1:14">
      <c r="A11" t="s">
        <v>37</v>
      </c>
      <c r="B11" t="s">
        <v>38</v>
      </c>
      <c r="C11">
        <v>5299</v>
      </c>
      <c r="D11">
        <v>4999</v>
      </c>
      <c r="E11">
        <v>5050</v>
      </c>
      <c r="F11" t="s">
        <v>26</v>
      </c>
      <c r="G11">
        <v>0</v>
      </c>
      <c r="H11">
        <v>4999</v>
      </c>
      <c r="I11">
        <v>4450</v>
      </c>
      <c r="J11">
        <v>549</v>
      </c>
      <c r="K11">
        <v>0.10982196439287857</v>
      </c>
      <c r="L11">
        <v>-51</v>
      </c>
      <c r="M11" t="s">
        <v>121</v>
      </c>
      <c r="N11" t="s">
        <v>122</v>
      </c>
    </row>
    <row r="12" spans="1:14">
      <c r="A12" t="s">
        <v>39</v>
      </c>
      <c r="B12" t="s">
        <v>40</v>
      </c>
      <c r="C12">
        <v>5399</v>
      </c>
      <c r="D12">
        <v>5099</v>
      </c>
      <c r="E12">
        <v>5150</v>
      </c>
      <c r="F12" t="s">
        <v>15</v>
      </c>
      <c r="G12">
        <v>8</v>
      </c>
      <c r="H12">
        <v>4691.08</v>
      </c>
      <c r="I12">
        <v>4750</v>
      </c>
      <c r="J12">
        <v>-58.920000000000073</v>
      </c>
      <c r="K12">
        <v>-1.2560007503602597E-2</v>
      </c>
      <c r="L12">
        <v>-51</v>
      </c>
      <c r="M12" t="s">
        <v>105</v>
      </c>
      <c r="N12" t="s">
        <v>106</v>
      </c>
    </row>
    <row r="13" spans="1:14">
      <c r="A13" t="s">
        <v>41</v>
      </c>
      <c r="B13" t="s">
        <v>42</v>
      </c>
      <c r="C13">
        <v>1899</v>
      </c>
      <c r="D13">
        <v>1799</v>
      </c>
      <c r="E13">
        <v>1750</v>
      </c>
      <c r="F13" t="s">
        <v>20</v>
      </c>
      <c r="G13">
        <v>6</v>
      </c>
      <c r="H13">
        <v>1691.06</v>
      </c>
      <c r="I13">
        <v>1550</v>
      </c>
      <c r="J13">
        <v>141.05999999999995</v>
      </c>
      <c r="K13">
        <v>8.3415136068501386E-2</v>
      </c>
      <c r="L13">
        <v>49</v>
      </c>
      <c r="M13" t="s">
        <v>121</v>
      </c>
      <c r="N13" t="s">
        <v>122</v>
      </c>
    </row>
    <row r="14" spans="1:14">
      <c r="A14" t="s">
        <v>43</v>
      </c>
      <c r="B14" t="s">
        <v>44</v>
      </c>
      <c r="C14">
        <v>4299</v>
      </c>
      <c r="D14">
        <v>4099</v>
      </c>
      <c r="E14">
        <v>4150</v>
      </c>
      <c r="F14" t="s">
        <v>23</v>
      </c>
      <c r="G14">
        <v>5</v>
      </c>
      <c r="H14">
        <v>3894.0499999999997</v>
      </c>
      <c r="I14">
        <v>3650</v>
      </c>
      <c r="J14">
        <v>244.04999999999973</v>
      </c>
      <c r="K14">
        <v>6.2672538873409372E-2</v>
      </c>
      <c r="L14">
        <v>-51</v>
      </c>
      <c r="M14" t="s">
        <v>107</v>
      </c>
      <c r="N14" t="s">
        <v>122</v>
      </c>
    </row>
    <row r="15" spans="1:14">
      <c r="A15" t="s">
        <v>46</v>
      </c>
      <c r="B15" t="s">
        <v>47</v>
      </c>
      <c r="C15">
        <v>4899</v>
      </c>
      <c r="D15">
        <v>4599</v>
      </c>
      <c r="E15">
        <v>4650</v>
      </c>
      <c r="F15" t="s">
        <v>26</v>
      </c>
      <c r="G15">
        <v>0</v>
      </c>
      <c r="H15">
        <v>4599</v>
      </c>
      <c r="I15">
        <v>3950</v>
      </c>
      <c r="J15">
        <v>649</v>
      </c>
      <c r="K15">
        <v>0.14111763426831919</v>
      </c>
      <c r="L15">
        <v>-51</v>
      </c>
      <c r="M15" t="s">
        <v>121</v>
      </c>
      <c r="N15" t="s">
        <v>122</v>
      </c>
    </row>
    <row r="16" spans="1:14">
      <c r="A16" t="s">
        <v>48</v>
      </c>
      <c r="B16" t="s">
        <v>49</v>
      </c>
      <c r="C16">
        <v>4899</v>
      </c>
      <c r="D16">
        <v>4699</v>
      </c>
      <c r="E16">
        <v>4750</v>
      </c>
      <c r="F16" t="s">
        <v>15</v>
      </c>
      <c r="G16">
        <v>8</v>
      </c>
      <c r="H16">
        <v>4323.08</v>
      </c>
      <c r="I16">
        <v>4250</v>
      </c>
      <c r="J16">
        <v>73.079999999999927</v>
      </c>
      <c r="K16">
        <v>1.6904614302765603E-2</v>
      </c>
      <c r="L16">
        <v>-51</v>
      </c>
      <c r="M16" t="s">
        <v>107</v>
      </c>
      <c r="N16" t="s">
        <v>108</v>
      </c>
    </row>
    <row r="17" spans="1:14">
      <c r="A17" t="s">
        <v>50</v>
      </c>
      <c r="B17" t="s">
        <v>51</v>
      </c>
      <c r="C17">
        <v>1299</v>
      </c>
      <c r="D17">
        <v>1199</v>
      </c>
      <c r="E17">
        <v>1150</v>
      </c>
      <c r="F17" t="s">
        <v>20</v>
      </c>
      <c r="G17">
        <v>6</v>
      </c>
      <c r="H17">
        <v>1127.06</v>
      </c>
      <c r="I17">
        <v>950</v>
      </c>
      <c r="J17">
        <v>177.05999999999995</v>
      </c>
      <c r="K17">
        <v>0.15709900094050003</v>
      </c>
      <c r="L17">
        <v>49</v>
      </c>
      <c r="M17" t="s">
        <v>121</v>
      </c>
      <c r="N17" t="s">
        <v>122</v>
      </c>
    </row>
    <row r="18" spans="1:14">
      <c r="A18" t="s">
        <v>52</v>
      </c>
      <c r="B18" t="s">
        <v>53</v>
      </c>
      <c r="C18">
        <v>6299</v>
      </c>
      <c r="D18">
        <v>5999</v>
      </c>
      <c r="E18">
        <v>6050</v>
      </c>
      <c r="F18" t="s">
        <v>23</v>
      </c>
      <c r="G18">
        <v>5</v>
      </c>
      <c r="H18">
        <v>5699.05</v>
      </c>
      <c r="I18">
        <v>5650</v>
      </c>
      <c r="J18">
        <v>49.050000000000182</v>
      </c>
      <c r="K18">
        <v>8.606697607496017E-3</v>
      </c>
      <c r="L18">
        <v>-51</v>
      </c>
      <c r="M18" t="s">
        <v>107</v>
      </c>
      <c r="N18" t="s">
        <v>108</v>
      </c>
    </row>
    <row r="19" spans="1:14">
      <c r="A19" t="s">
        <v>54</v>
      </c>
      <c r="B19" t="s">
        <v>55</v>
      </c>
      <c r="C19">
        <v>3299</v>
      </c>
      <c r="D19">
        <v>3099</v>
      </c>
      <c r="E19">
        <v>3120</v>
      </c>
      <c r="F19" t="s">
        <v>15</v>
      </c>
      <c r="G19">
        <v>8</v>
      </c>
      <c r="H19">
        <v>2851.08</v>
      </c>
      <c r="I19">
        <v>2650</v>
      </c>
      <c r="J19">
        <v>201.07999999999993</v>
      </c>
      <c r="K19">
        <v>7.052765969387037E-2</v>
      </c>
      <c r="L19">
        <v>-21</v>
      </c>
      <c r="M19" t="s">
        <v>107</v>
      </c>
      <c r="N19" t="s">
        <v>122</v>
      </c>
    </row>
    <row r="20" spans="1:14">
      <c r="A20" t="s">
        <v>56</v>
      </c>
      <c r="B20" t="s">
        <v>57</v>
      </c>
      <c r="C20">
        <v>2999</v>
      </c>
      <c r="D20">
        <v>2799</v>
      </c>
      <c r="E20">
        <v>2850</v>
      </c>
      <c r="F20" t="s">
        <v>20</v>
      </c>
      <c r="G20">
        <v>6</v>
      </c>
      <c r="H20">
        <v>2631.06</v>
      </c>
      <c r="I20">
        <v>2550</v>
      </c>
      <c r="J20">
        <v>81.059999999999945</v>
      </c>
      <c r="K20">
        <v>3.0808875510250602E-2</v>
      </c>
      <c r="L20">
        <v>-51</v>
      </c>
      <c r="M20" t="s">
        <v>107</v>
      </c>
      <c r="N20" t="s">
        <v>116</v>
      </c>
    </row>
    <row r="21" spans="1:14">
      <c r="A21" t="s">
        <v>58</v>
      </c>
      <c r="B21" t="s">
        <v>59</v>
      </c>
      <c r="C21">
        <v>1599</v>
      </c>
      <c r="D21">
        <v>1499</v>
      </c>
      <c r="E21">
        <v>1480</v>
      </c>
      <c r="F21" t="s">
        <v>26</v>
      </c>
      <c r="G21">
        <v>0</v>
      </c>
      <c r="H21">
        <v>1499</v>
      </c>
      <c r="I21">
        <v>1250</v>
      </c>
      <c r="J21">
        <v>249</v>
      </c>
      <c r="K21">
        <v>0.16611074049366245</v>
      </c>
      <c r="L21">
        <v>19</v>
      </c>
      <c r="M21" t="s">
        <v>121</v>
      </c>
      <c r="N21" t="s">
        <v>122</v>
      </c>
    </row>
    <row r="22" spans="1:14">
      <c r="A22" t="s">
        <v>60</v>
      </c>
      <c r="B22" t="s">
        <v>61</v>
      </c>
      <c r="C22">
        <v>5499</v>
      </c>
      <c r="D22">
        <v>5199</v>
      </c>
      <c r="E22">
        <v>5250</v>
      </c>
      <c r="F22" t="s">
        <v>15</v>
      </c>
      <c r="G22">
        <v>8</v>
      </c>
      <c r="H22">
        <v>4783.08</v>
      </c>
      <c r="I22">
        <v>4850</v>
      </c>
      <c r="J22">
        <v>-66.920000000000073</v>
      </c>
      <c r="K22">
        <v>-1.3990984888398285E-2</v>
      </c>
      <c r="L22">
        <v>-51</v>
      </c>
      <c r="M22" t="s">
        <v>105</v>
      </c>
      <c r="N22" t="s">
        <v>106</v>
      </c>
    </row>
    <row r="23" spans="1:14">
      <c r="A23" t="s">
        <v>62</v>
      </c>
      <c r="B23" t="s">
        <v>63</v>
      </c>
      <c r="C23">
        <v>2699</v>
      </c>
      <c r="D23">
        <v>2499</v>
      </c>
      <c r="E23">
        <v>2550</v>
      </c>
      <c r="F23" t="s">
        <v>20</v>
      </c>
      <c r="G23">
        <v>6</v>
      </c>
      <c r="H23">
        <v>2349.06</v>
      </c>
      <c r="I23">
        <v>2150</v>
      </c>
      <c r="J23">
        <v>199.05999999999995</v>
      </c>
      <c r="K23">
        <v>8.4740279090359527E-2</v>
      </c>
      <c r="L23">
        <v>-51</v>
      </c>
      <c r="M23" t="s">
        <v>121</v>
      </c>
      <c r="N23" t="s">
        <v>122</v>
      </c>
    </row>
    <row r="24" spans="1:14">
      <c r="A24" t="s">
        <v>64</v>
      </c>
      <c r="B24" t="s">
        <v>65</v>
      </c>
      <c r="C24">
        <v>5799</v>
      </c>
      <c r="D24">
        <v>5499</v>
      </c>
      <c r="E24">
        <v>5550</v>
      </c>
      <c r="F24" t="s">
        <v>23</v>
      </c>
      <c r="G24">
        <v>5</v>
      </c>
      <c r="H24">
        <v>5224.05</v>
      </c>
      <c r="I24">
        <v>5150</v>
      </c>
      <c r="J24">
        <v>74.050000000000182</v>
      </c>
      <c r="K24">
        <v>1.4174826044926862E-2</v>
      </c>
      <c r="L24">
        <v>-51</v>
      </c>
      <c r="M24" t="s">
        <v>107</v>
      </c>
      <c r="N24" t="s">
        <v>108</v>
      </c>
    </row>
    <row r="25" spans="1:14">
      <c r="A25" t="s">
        <v>66</v>
      </c>
      <c r="B25" t="s">
        <v>67</v>
      </c>
      <c r="C25">
        <v>1699</v>
      </c>
      <c r="D25">
        <v>1599</v>
      </c>
      <c r="E25">
        <v>1580</v>
      </c>
      <c r="F25" t="s">
        <v>15</v>
      </c>
      <c r="G25">
        <v>8</v>
      </c>
      <c r="H25">
        <v>1471.0800000000002</v>
      </c>
      <c r="I25">
        <v>1350</v>
      </c>
      <c r="J25">
        <v>121.08000000000015</v>
      </c>
      <c r="K25">
        <v>8.2306876580471589E-2</v>
      </c>
      <c r="L25">
        <v>19</v>
      </c>
      <c r="M25" t="s">
        <v>121</v>
      </c>
      <c r="N25" t="s">
        <v>122</v>
      </c>
    </row>
    <row r="26" spans="1:14">
      <c r="A26" t="s">
        <v>68</v>
      </c>
      <c r="B26" t="s">
        <v>69</v>
      </c>
      <c r="C26">
        <v>3599</v>
      </c>
      <c r="D26">
        <v>3399</v>
      </c>
      <c r="E26">
        <v>3450</v>
      </c>
      <c r="F26" t="s">
        <v>20</v>
      </c>
      <c r="G26">
        <v>6</v>
      </c>
      <c r="H26">
        <v>3195.06</v>
      </c>
      <c r="I26">
        <v>2950</v>
      </c>
      <c r="J26">
        <v>245.05999999999995</v>
      </c>
      <c r="K26">
        <v>7.6699655092549113E-2</v>
      </c>
      <c r="L26">
        <v>-51</v>
      </c>
      <c r="M26" t="s">
        <v>107</v>
      </c>
      <c r="N26" t="s">
        <v>122</v>
      </c>
    </row>
    <row r="27" spans="1:14">
      <c r="A27" t="s">
        <v>70</v>
      </c>
      <c r="B27" t="s">
        <v>71</v>
      </c>
      <c r="C27">
        <v>4999</v>
      </c>
      <c r="D27">
        <v>4699</v>
      </c>
      <c r="E27">
        <v>4750</v>
      </c>
      <c r="F27" t="s">
        <v>26</v>
      </c>
      <c r="G27">
        <v>0</v>
      </c>
      <c r="H27">
        <v>4699</v>
      </c>
      <c r="I27">
        <v>4250</v>
      </c>
      <c r="J27">
        <v>449</v>
      </c>
      <c r="K27">
        <v>9.5552245158544366E-2</v>
      </c>
      <c r="L27">
        <v>-51</v>
      </c>
      <c r="M27" t="s">
        <v>121</v>
      </c>
      <c r="N27" t="s">
        <v>122</v>
      </c>
    </row>
    <row r="28" spans="1:14">
      <c r="A28" t="s">
        <v>72</v>
      </c>
      <c r="B28" t="s">
        <v>73</v>
      </c>
      <c r="C28">
        <v>5299</v>
      </c>
      <c r="D28">
        <v>5099</v>
      </c>
      <c r="E28">
        <v>5150</v>
      </c>
      <c r="F28" t="s">
        <v>15</v>
      </c>
      <c r="G28">
        <v>8</v>
      </c>
      <c r="H28">
        <v>4691.08</v>
      </c>
      <c r="I28">
        <v>4650</v>
      </c>
      <c r="J28">
        <v>41.079999999999927</v>
      </c>
      <c r="K28">
        <v>8.7570452859469308E-3</v>
      </c>
      <c r="L28">
        <v>-51</v>
      </c>
      <c r="M28" t="s">
        <v>107</v>
      </c>
      <c r="N28" t="s">
        <v>108</v>
      </c>
    </row>
    <row r="29" spans="1:14">
      <c r="A29" t="s">
        <v>74</v>
      </c>
      <c r="B29" t="s">
        <v>75</v>
      </c>
      <c r="C29">
        <v>1099</v>
      </c>
      <c r="D29">
        <v>999</v>
      </c>
      <c r="E29">
        <v>1050</v>
      </c>
      <c r="F29" t="s">
        <v>20</v>
      </c>
      <c r="G29">
        <v>6</v>
      </c>
      <c r="H29">
        <v>939.06</v>
      </c>
      <c r="I29">
        <v>850</v>
      </c>
      <c r="J29">
        <v>89.059999999999945</v>
      </c>
      <c r="K29">
        <v>9.4839520371435213E-2</v>
      </c>
      <c r="L29">
        <v>-51</v>
      </c>
      <c r="M29" t="s">
        <v>121</v>
      </c>
      <c r="N29" t="s">
        <v>122</v>
      </c>
    </row>
    <row r="30" spans="1:14">
      <c r="A30" t="s">
        <v>76</v>
      </c>
      <c r="B30" t="s">
        <v>77</v>
      </c>
      <c r="C30">
        <v>6799</v>
      </c>
      <c r="D30">
        <v>6499</v>
      </c>
      <c r="E30">
        <v>6550</v>
      </c>
      <c r="F30" t="s">
        <v>23</v>
      </c>
      <c r="G30">
        <v>5</v>
      </c>
      <c r="H30">
        <v>6174.0499999999993</v>
      </c>
      <c r="I30">
        <v>6150</v>
      </c>
      <c r="J30">
        <v>24.049999999999272</v>
      </c>
      <c r="K30">
        <v>3.8953361245858513E-3</v>
      </c>
      <c r="L30">
        <v>-51</v>
      </c>
      <c r="M30" t="s">
        <v>107</v>
      </c>
      <c r="N30" t="s">
        <v>108</v>
      </c>
    </row>
    <row r="31" spans="1:14">
      <c r="A31" t="s">
        <v>78</v>
      </c>
      <c r="B31" t="s">
        <v>79</v>
      </c>
      <c r="C31">
        <v>3799</v>
      </c>
      <c r="D31">
        <v>3599</v>
      </c>
      <c r="E31">
        <v>3650</v>
      </c>
      <c r="F31" t="s">
        <v>15</v>
      </c>
      <c r="G31">
        <v>8</v>
      </c>
      <c r="H31">
        <v>3311.08</v>
      </c>
      <c r="I31">
        <v>2950</v>
      </c>
      <c r="J31">
        <v>361.07999999999993</v>
      </c>
      <c r="K31">
        <v>0.10905203136136847</v>
      </c>
      <c r="L31">
        <v>-51</v>
      </c>
      <c r="M31" t="s">
        <v>121</v>
      </c>
      <c r="N31" t="s">
        <v>122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E02F-50A3-438B-8090-7188F99A8ADF}">
  <dimension ref="A1:N31"/>
  <sheetViews>
    <sheetView workbookViewId="0">
      <selection activeCell="B9" sqref="B9"/>
    </sheetView>
  </sheetViews>
  <sheetFormatPr defaultRowHeight="13.2"/>
  <cols>
    <col min="1" max="1" width="15" customWidth="1"/>
    <col min="2" max="2" width="9.88671875" customWidth="1"/>
    <col min="3" max="3" width="19.33203125" customWidth="1"/>
    <col min="4" max="4" width="18.33203125" customWidth="1"/>
    <col min="5" max="5" width="22.33203125" customWidth="1"/>
    <col min="6" max="6" width="10.21875" customWidth="1"/>
    <col min="7" max="7" width="17.5546875" customWidth="1"/>
    <col min="8" max="8" width="23.5546875" customWidth="1"/>
    <col min="9" max="9" width="16.6640625" customWidth="1"/>
    <col min="10" max="10" width="12.33203125" customWidth="1"/>
    <col min="11" max="11" width="12.44140625" customWidth="1"/>
    <col min="12" max="12" width="15.21875" customWidth="1"/>
    <col min="14" max="14" width="11.77734375" customWidth="1"/>
  </cols>
  <sheetData>
    <row r="1" spans="1:14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  <row r="2" spans="1:14">
      <c r="A2" t="s">
        <v>11</v>
      </c>
      <c r="B2" t="s">
        <v>12</v>
      </c>
      <c r="C2">
        <v>2199</v>
      </c>
      <c r="D2">
        <v>2099</v>
      </c>
      <c r="E2">
        <v>2088</v>
      </c>
      <c r="F2" t="s">
        <v>15</v>
      </c>
      <c r="G2">
        <v>8</v>
      </c>
      <c r="H2">
        <v>1931.0800000000002</v>
      </c>
      <c r="I2">
        <v>1850</v>
      </c>
      <c r="J2">
        <v>81.080000000000155</v>
      </c>
      <c r="K2">
        <v>4.1986867452410127E-2</v>
      </c>
      <c r="L2">
        <v>11</v>
      </c>
      <c r="M2" t="s">
        <v>107</v>
      </c>
      <c r="N2" t="s">
        <v>116</v>
      </c>
    </row>
    <row r="3" spans="1:14">
      <c r="A3" t="s">
        <v>16</v>
      </c>
      <c r="B3" t="s">
        <v>17</v>
      </c>
      <c r="C3">
        <v>1699</v>
      </c>
      <c r="D3">
        <v>1599</v>
      </c>
      <c r="E3">
        <v>1588</v>
      </c>
      <c r="F3" t="s">
        <v>20</v>
      </c>
      <c r="G3">
        <v>6</v>
      </c>
      <c r="H3">
        <v>1503.06</v>
      </c>
      <c r="I3">
        <v>1350</v>
      </c>
      <c r="J3">
        <v>153.05999999999995</v>
      </c>
      <c r="K3">
        <v>0.10183226218514228</v>
      </c>
      <c r="L3">
        <v>11</v>
      </c>
      <c r="M3" t="s">
        <v>121</v>
      </c>
      <c r="N3" t="s">
        <v>122</v>
      </c>
    </row>
    <row r="4" spans="1:14">
      <c r="A4" t="s">
        <v>21</v>
      </c>
      <c r="B4" t="s">
        <v>22</v>
      </c>
      <c r="C4">
        <v>3899</v>
      </c>
      <c r="D4">
        <v>3699</v>
      </c>
      <c r="E4">
        <v>3750</v>
      </c>
      <c r="F4" t="s">
        <v>23</v>
      </c>
      <c r="G4">
        <v>5</v>
      </c>
      <c r="H4">
        <v>3514.0499999999997</v>
      </c>
      <c r="I4">
        <v>3250</v>
      </c>
      <c r="J4">
        <v>264.04999999999973</v>
      </c>
      <c r="K4">
        <v>7.5141218821587558E-2</v>
      </c>
      <c r="L4">
        <v>-51</v>
      </c>
      <c r="M4" t="s">
        <v>107</v>
      </c>
      <c r="N4" t="s">
        <v>122</v>
      </c>
    </row>
    <row r="5" spans="1:14">
      <c r="A5" t="s">
        <v>24</v>
      </c>
      <c r="B5" t="s">
        <v>25</v>
      </c>
      <c r="C5">
        <v>2999</v>
      </c>
      <c r="D5">
        <v>2799</v>
      </c>
      <c r="E5">
        <v>2850</v>
      </c>
      <c r="F5" t="s">
        <v>26</v>
      </c>
      <c r="G5">
        <v>0</v>
      </c>
      <c r="H5">
        <v>2799</v>
      </c>
      <c r="I5">
        <v>2450</v>
      </c>
      <c r="J5">
        <v>349</v>
      </c>
      <c r="K5">
        <v>0.12468738835298321</v>
      </c>
      <c r="L5">
        <v>-51</v>
      </c>
      <c r="M5" t="s">
        <v>121</v>
      </c>
      <c r="N5" t="s">
        <v>122</v>
      </c>
    </row>
    <row r="6" spans="1:14">
      <c r="A6" t="s">
        <v>27</v>
      </c>
      <c r="B6" t="s">
        <v>28</v>
      </c>
      <c r="C6">
        <v>4599</v>
      </c>
      <c r="D6">
        <v>4399</v>
      </c>
      <c r="E6">
        <v>4300</v>
      </c>
      <c r="F6" t="s">
        <v>15</v>
      </c>
      <c r="G6">
        <v>8</v>
      </c>
      <c r="H6">
        <v>4047.0800000000004</v>
      </c>
      <c r="I6">
        <v>3950</v>
      </c>
      <c r="J6">
        <v>97.080000000000382</v>
      </c>
      <c r="K6">
        <v>2.3987665180821821E-2</v>
      </c>
      <c r="L6">
        <v>99</v>
      </c>
      <c r="M6" t="s">
        <v>107</v>
      </c>
      <c r="N6" t="s">
        <v>116</v>
      </c>
    </row>
    <row r="7" spans="1:14">
      <c r="A7" t="s">
        <v>29</v>
      </c>
      <c r="B7" t="s">
        <v>30</v>
      </c>
      <c r="C7">
        <v>2399</v>
      </c>
      <c r="D7">
        <v>2199</v>
      </c>
      <c r="E7">
        <v>2250</v>
      </c>
      <c r="F7" t="s">
        <v>20</v>
      </c>
      <c r="G7">
        <v>6</v>
      </c>
      <c r="H7">
        <v>2067.06</v>
      </c>
      <c r="I7">
        <v>2000</v>
      </c>
      <c r="J7">
        <v>67.059999999999945</v>
      </c>
      <c r="K7">
        <v>3.2442212611148179E-2</v>
      </c>
      <c r="L7">
        <v>-51</v>
      </c>
      <c r="M7" t="s">
        <v>107</v>
      </c>
      <c r="N7" t="s">
        <v>116</v>
      </c>
    </row>
    <row r="8" spans="1:14">
      <c r="A8" t="s">
        <v>31</v>
      </c>
      <c r="B8" t="s">
        <v>32</v>
      </c>
      <c r="C8">
        <v>1399</v>
      </c>
      <c r="D8">
        <v>1299</v>
      </c>
      <c r="E8">
        <v>1250</v>
      </c>
      <c r="F8" t="s">
        <v>15</v>
      </c>
      <c r="G8">
        <v>8</v>
      </c>
      <c r="H8">
        <v>1195.0800000000002</v>
      </c>
      <c r="I8">
        <v>1150</v>
      </c>
      <c r="J8">
        <v>45.080000000000155</v>
      </c>
      <c r="K8">
        <v>3.772132409545817E-2</v>
      </c>
      <c r="L8">
        <v>49</v>
      </c>
      <c r="M8" t="s">
        <v>107</v>
      </c>
      <c r="N8" t="s">
        <v>116</v>
      </c>
    </row>
    <row r="9" spans="1:14">
      <c r="A9" t="s">
        <v>33</v>
      </c>
      <c r="B9" t="s">
        <v>34</v>
      </c>
      <c r="C9">
        <v>3299</v>
      </c>
      <c r="D9">
        <v>3099</v>
      </c>
      <c r="E9">
        <v>3150</v>
      </c>
      <c r="F9" t="s">
        <v>23</v>
      </c>
      <c r="G9">
        <v>5</v>
      </c>
      <c r="H9">
        <v>2944.0499999999997</v>
      </c>
      <c r="I9">
        <v>2750</v>
      </c>
      <c r="J9">
        <v>194.04999999999973</v>
      </c>
      <c r="K9">
        <v>6.5912603386491311E-2</v>
      </c>
      <c r="L9">
        <v>-51</v>
      </c>
      <c r="M9" t="s">
        <v>107</v>
      </c>
      <c r="N9" t="s">
        <v>122</v>
      </c>
    </row>
    <row r="10" spans="1:14">
      <c r="A10" t="s">
        <v>35</v>
      </c>
      <c r="B10" t="s">
        <v>36</v>
      </c>
      <c r="C10">
        <v>2499</v>
      </c>
      <c r="D10">
        <v>2299</v>
      </c>
      <c r="E10">
        <v>2350</v>
      </c>
      <c r="F10" t="s">
        <v>20</v>
      </c>
      <c r="G10">
        <v>6</v>
      </c>
      <c r="H10">
        <v>2161.06</v>
      </c>
      <c r="I10">
        <v>2050</v>
      </c>
      <c r="J10">
        <v>111.05999999999995</v>
      </c>
      <c r="K10">
        <v>5.1391446790001176E-2</v>
      </c>
      <c r="L10">
        <v>-51</v>
      </c>
      <c r="M10" t="s">
        <v>107</v>
      </c>
      <c r="N10" t="s">
        <v>122</v>
      </c>
    </row>
    <row r="11" spans="1:14">
      <c r="A11" t="s">
        <v>37</v>
      </c>
      <c r="B11" t="s">
        <v>38</v>
      </c>
      <c r="C11">
        <v>5299</v>
      </c>
      <c r="D11">
        <v>4999</v>
      </c>
      <c r="E11">
        <v>5050</v>
      </c>
      <c r="F11" t="s">
        <v>26</v>
      </c>
      <c r="G11">
        <v>0</v>
      </c>
      <c r="H11">
        <v>4999</v>
      </c>
      <c r="I11">
        <v>4450</v>
      </c>
      <c r="J11">
        <v>549</v>
      </c>
      <c r="K11">
        <v>0.10982196439287857</v>
      </c>
      <c r="L11">
        <v>-51</v>
      </c>
      <c r="M11" t="s">
        <v>121</v>
      </c>
      <c r="N11" t="s">
        <v>122</v>
      </c>
    </row>
    <row r="12" spans="1:14">
      <c r="A12" t="s">
        <v>39</v>
      </c>
      <c r="B12" t="s">
        <v>40</v>
      </c>
      <c r="C12">
        <v>5399</v>
      </c>
      <c r="D12">
        <v>5099</v>
      </c>
      <c r="E12">
        <v>5150</v>
      </c>
      <c r="F12" t="s">
        <v>15</v>
      </c>
      <c r="G12">
        <v>8</v>
      </c>
      <c r="H12">
        <v>4691.08</v>
      </c>
      <c r="I12">
        <v>4750</v>
      </c>
      <c r="J12">
        <v>-58.920000000000073</v>
      </c>
      <c r="K12">
        <v>-1.2560007503602597E-2</v>
      </c>
      <c r="L12">
        <v>-51</v>
      </c>
      <c r="M12" t="s">
        <v>105</v>
      </c>
      <c r="N12" t="s">
        <v>106</v>
      </c>
    </row>
    <row r="13" spans="1:14">
      <c r="A13" t="s">
        <v>41</v>
      </c>
      <c r="B13" t="s">
        <v>42</v>
      </c>
      <c r="C13">
        <v>1899</v>
      </c>
      <c r="D13">
        <v>1799</v>
      </c>
      <c r="E13">
        <v>1750</v>
      </c>
      <c r="F13" t="s">
        <v>20</v>
      </c>
      <c r="G13">
        <v>6</v>
      </c>
      <c r="H13">
        <v>1691.06</v>
      </c>
      <c r="I13">
        <v>1550</v>
      </c>
      <c r="J13">
        <v>141.05999999999995</v>
      </c>
      <c r="K13">
        <v>8.3415136068501386E-2</v>
      </c>
      <c r="L13">
        <v>49</v>
      </c>
      <c r="M13" t="s">
        <v>121</v>
      </c>
      <c r="N13" t="s">
        <v>122</v>
      </c>
    </row>
    <row r="14" spans="1:14">
      <c r="A14" t="s">
        <v>43</v>
      </c>
      <c r="B14" t="s">
        <v>44</v>
      </c>
      <c r="C14">
        <v>4299</v>
      </c>
      <c r="D14">
        <v>4099</v>
      </c>
      <c r="E14">
        <v>4150</v>
      </c>
      <c r="F14" t="s">
        <v>23</v>
      </c>
      <c r="G14">
        <v>5</v>
      </c>
      <c r="H14">
        <v>3894.0499999999997</v>
      </c>
      <c r="I14">
        <v>3650</v>
      </c>
      <c r="J14">
        <v>244.04999999999973</v>
      </c>
      <c r="K14">
        <v>6.2672538873409372E-2</v>
      </c>
      <c r="L14">
        <v>-51</v>
      </c>
      <c r="M14" t="s">
        <v>107</v>
      </c>
      <c r="N14" t="s">
        <v>122</v>
      </c>
    </row>
    <row r="15" spans="1:14">
      <c r="A15" t="s">
        <v>46</v>
      </c>
      <c r="B15" t="s">
        <v>47</v>
      </c>
      <c r="C15">
        <v>4899</v>
      </c>
      <c r="D15">
        <v>4599</v>
      </c>
      <c r="E15">
        <v>4650</v>
      </c>
      <c r="F15" t="s">
        <v>26</v>
      </c>
      <c r="G15">
        <v>0</v>
      </c>
      <c r="H15">
        <v>4599</v>
      </c>
      <c r="I15">
        <v>3950</v>
      </c>
      <c r="J15">
        <v>649</v>
      </c>
      <c r="K15">
        <v>0.14111763426831919</v>
      </c>
      <c r="L15">
        <v>-51</v>
      </c>
      <c r="M15" t="s">
        <v>121</v>
      </c>
      <c r="N15" t="s">
        <v>122</v>
      </c>
    </row>
    <row r="16" spans="1:14">
      <c r="A16" t="s">
        <v>48</v>
      </c>
      <c r="B16" t="s">
        <v>49</v>
      </c>
      <c r="C16">
        <v>4899</v>
      </c>
      <c r="D16">
        <v>4699</v>
      </c>
      <c r="E16">
        <v>4750</v>
      </c>
      <c r="F16" t="s">
        <v>15</v>
      </c>
      <c r="G16">
        <v>8</v>
      </c>
      <c r="H16">
        <v>4323.08</v>
      </c>
      <c r="I16">
        <v>4250</v>
      </c>
      <c r="J16">
        <v>73.079999999999927</v>
      </c>
      <c r="K16">
        <v>1.6904614302765603E-2</v>
      </c>
      <c r="L16">
        <v>-51</v>
      </c>
      <c r="M16" t="s">
        <v>107</v>
      </c>
      <c r="N16" t="s">
        <v>108</v>
      </c>
    </row>
    <row r="17" spans="1:14">
      <c r="A17" t="s">
        <v>50</v>
      </c>
      <c r="B17" t="s">
        <v>51</v>
      </c>
      <c r="C17">
        <v>1299</v>
      </c>
      <c r="D17">
        <v>1199</v>
      </c>
      <c r="E17">
        <v>1150</v>
      </c>
      <c r="F17" t="s">
        <v>20</v>
      </c>
      <c r="G17">
        <v>6</v>
      </c>
      <c r="H17">
        <v>1127.06</v>
      </c>
      <c r="I17">
        <v>950</v>
      </c>
      <c r="J17">
        <v>177.05999999999995</v>
      </c>
      <c r="K17">
        <v>0.15709900094050003</v>
      </c>
      <c r="L17">
        <v>49</v>
      </c>
      <c r="M17" t="s">
        <v>121</v>
      </c>
      <c r="N17" t="s">
        <v>122</v>
      </c>
    </row>
    <row r="18" spans="1:14">
      <c r="A18" t="s">
        <v>52</v>
      </c>
      <c r="B18" t="s">
        <v>53</v>
      </c>
      <c r="C18">
        <v>6299</v>
      </c>
      <c r="D18">
        <v>5999</v>
      </c>
      <c r="E18">
        <v>6050</v>
      </c>
      <c r="F18" t="s">
        <v>23</v>
      </c>
      <c r="G18">
        <v>5</v>
      </c>
      <c r="H18">
        <v>5699.05</v>
      </c>
      <c r="I18">
        <v>5650</v>
      </c>
      <c r="J18">
        <v>49.050000000000182</v>
      </c>
      <c r="K18">
        <v>8.606697607496017E-3</v>
      </c>
      <c r="L18">
        <v>-51</v>
      </c>
      <c r="M18" t="s">
        <v>107</v>
      </c>
      <c r="N18" t="s">
        <v>108</v>
      </c>
    </row>
    <row r="19" spans="1:14">
      <c r="A19" t="s">
        <v>54</v>
      </c>
      <c r="B19" t="s">
        <v>55</v>
      </c>
      <c r="C19">
        <v>3299</v>
      </c>
      <c r="D19">
        <v>3099</v>
      </c>
      <c r="E19">
        <v>3120</v>
      </c>
      <c r="F19" t="s">
        <v>15</v>
      </c>
      <c r="G19">
        <v>8</v>
      </c>
      <c r="H19">
        <v>2851.08</v>
      </c>
      <c r="I19">
        <v>2650</v>
      </c>
      <c r="J19">
        <v>201.07999999999993</v>
      </c>
      <c r="K19">
        <v>7.052765969387037E-2</v>
      </c>
      <c r="L19">
        <v>-21</v>
      </c>
      <c r="M19" t="s">
        <v>107</v>
      </c>
      <c r="N19" t="s">
        <v>122</v>
      </c>
    </row>
    <row r="20" spans="1:14">
      <c r="A20" t="s">
        <v>56</v>
      </c>
      <c r="B20" t="s">
        <v>57</v>
      </c>
      <c r="C20">
        <v>2999</v>
      </c>
      <c r="D20">
        <v>2799</v>
      </c>
      <c r="E20">
        <v>2850</v>
      </c>
      <c r="F20" t="s">
        <v>20</v>
      </c>
      <c r="G20">
        <v>6</v>
      </c>
      <c r="H20">
        <v>2631.06</v>
      </c>
      <c r="I20">
        <v>2550</v>
      </c>
      <c r="J20">
        <v>81.059999999999945</v>
      </c>
      <c r="K20">
        <v>3.0808875510250602E-2</v>
      </c>
      <c r="L20">
        <v>-51</v>
      </c>
      <c r="M20" t="s">
        <v>107</v>
      </c>
      <c r="N20" t="s">
        <v>116</v>
      </c>
    </row>
    <row r="21" spans="1:14">
      <c r="A21" t="s">
        <v>58</v>
      </c>
      <c r="B21" t="s">
        <v>59</v>
      </c>
      <c r="C21">
        <v>1599</v>
      </c>
      <c r="D21">
        <v>1499</v>
      </c>
      <c r="E21">
        <v>1480</v>
      </c>
      <c r="F21" t="s">
        <v>26</v>
      </c>
      <c r="G21">
        <v>0</v>
      </c>
      <c r="H21">
        <v>1499</v>
      </c>
      <c r="I21">
        <v>1250</v>
      </c>
      <c r="J21">
        <v>249</v>
      </c>
      <c r="K21">
        <v>0.16611074049366245</v>
      </c>
      <c r="L21">
        <v>19</v>
      </c>
      <c r="M21" t="s">
        <v>121</v>
      </c>
      <c r="N21" t="s">
        <v>122</v>
      </c>
    </row>
    <row r="22" spans="1:14">
      <c r="A22" t="s">
        <v>60</v>
      </c>
      <c r="B22" t="s">
        <v>61</v>
      </c>
      <c r="C22">
        <v>5499</v>
      </c>
      <c r="D22">
        <v>5199</v>
      </c>
      <c r="E22">
        <v>5250</v>
      </c>
      <c r="F22" t="s">
        <v>15</v>
      </c>
      <c r="G22">
        <v>8</v>
      </c>
      <c r="H22">
        <v>4783.08</v>
      </c>
      <c r="I22">
        <v>4850</v>
      </c>
      <c r="J22">
        <v>-66.920000000000073</v>
      </c>
      <c r="K22">
        <v>-1.3990984888398285E-2</v>
      </c>
      <c r="L22">
        <v>-51</v>
      </c>
      <c r="M22" t="s">
        <v>105</v>
      </c>
      <c r="N22" t="s">
        <v>106</v>
      </c>
    </row>
    <row r="23" spans="1:14">
      <c r="A23" t="s">
        <v>62</v>
      </c>
      <c r="B23" t="s">
        <v>63</v>
      </c>
      <c r="C23">
        <v>2699</v>
      </c>
      <c r="D23">
        <v>2499</v>
      </c>
      <c r="E23">
        <v>2550</v>
      </c>
      <c r="F23" t="s">
        <v>20</v>
      </c>
      <c r="G23">
        <v>6</v>
      </c>
      <c r="H23">
        <v>2349.06</v>
      </c>
      <c r="I23">
        <v>2150</v>
      </c>
      <c r="J23">
        <v>199.05999999999995</v>
      </c>
      <c r="K23">
        <v>8.4740279090359527E-2</v>
      </c>
      <c r="L23">
        <v>-51</v>
      </c>
      <c r="M23" t="s">
        <v>121</v>
      </c>
      <c r="N23" t="s">
        <v>122</v>
      </c>
    </row>
    <row r="24" spans="1:14">
      <c r="A24" t="s">
        <v>64</v>
      </c>
      <c r="B24" t="s">
        <v>65</v>
      </c>
      <c r="C24">
        <v>5799</v>
      </c>
      <c r="D24">
        <v>5499</v>
      </c>
      <c r="E24">
        <v>5550</v>
      </c>
      <c r="F24" t="s">
        <v>23</v>
      </c>
      <c r="G24">
        <v>5</v>
      </c>
      <c r="H24">
        <v>5224.05</v>
      </c>
      <c r="I24">
        <v>5150</v>
      </c>
      <c r="J24">
        <v>74.050000000000182</v>
      </c>
      <c r="K24">
        <v>1.4174826044926862E-2</v>
      </c>
      <c r="L24">
        <v>-51</v>
      </c>
      <c r="M24" t="s">
        <v>107</v>
      </c>
      <c r="N24" t="s">
        <v>108</v>
      </c>
    </row>
    <row r="25" spans="1:14">
      <c r="A25" t="s">
        <v>66</v>
      </c>
      <c r="B25" t="s">
        <v>67</v>
      </c>
      <c r="C25">
        <v>1699</v>
      </c>
      <c r="D25">
        <v>1599</v>
      </c>
      <c r="E25">
        <v>1580</v>
      </c>
      <c r="F25" t="s">
        <v>15</v>
      </c>
      <c r="G25">
        <v>8</v>
      </c>
      <c r="H25">
        <v>1471.0800000000002</v>
      </c>
      <c r="I25">
        <v>1350</v>
      </c>
      <c r="J25">
        <v>121.08000000000015</v>
      </c>
      <c r="K25">
        <v>8.2306876580471589E-2</v>
      </c>
      <c r="L25">
        <v>19</v>
      </c>
      <c r="M25" t="s">
        <v>121</v>
      </c>
      <c r="N25" t="s">
        <v>122</v>
      </c>
    </row>
    <row r="26" spans="1:14">
      <c r="A26" t="s">
        <v>68</v>
      </c>
      <c r="B26" t="s">
        <v>69</v>
      </c>
      <c r="C26">
        <v>3599</v>
      </c>
      <c r="D26">
        <v>3399</v>
      </c>
      <c r="E26">
        <v>3450</v>
      </c>
      <c r="F26" t="s">
        <v>20</v>
      </c>
      <c r="G26">
        <v>6</v>
      </c>
      <c r="H26">
        <v>3195.06</v>
      </c>
      <c r="I26">
        <v>2950</v>
      </c>
      <c r="J26">
        <v>245.05999999999995</v>
      </c>
      <c r="K26">
        <v>7.6699655092549113E-2</v>
      </c>
      <c r="L26">
        <v>-51</v>
      </c>
      <c r="M26" t="s">
        <v>107</v>
      </c>
      <c r="N26" t="s">
        <v>122</v>
      </c>
    </row>
    <row r="27" spans="1:14">
      <c r="A27" t="s">
        <v>70</v>
      </c>
      <c r="B27" t="s">
        <v>71</v>
      </c>
      <c r="C27">
        <v>4999</v>
      </c>
      <c r="D27">
        <v>4699</v>
      </c>
      <c r="E27">
        <v>4750</v>
      </c>
      <c r="F27" t="s">
        <v>26</v>
      </c>
      <c r="G27">
        <v>0</v>
      </c>
      <c r="H27">
        <v>4699</v>
      </c>
      <c r="I27">
        <v>4250</v>
      </c>
      <c r="J27">
        <v>449</v>
      </c>
      <c r="K27">
        <v>9.5552245158544366E-2</v>
      </c>
      <c r="L27">
        <v>-51</v>
      </c>
      <c r="M27" t="s">
        <v>121</v>
      </c>
      <c r="N27" t="s">
        <v>122</v>
      </c>
    </row>
    <row r="28" spans="1:14">
      <c r="A28" t="s">
        <v>72</v>
      </c>
      <c r="B28" t="s">
        <v>73</v>
      </c>
      <c r="C28">
        <v>5299</v>
      </c>
      <c r="D28">
        <v>5099</v>
      </c>
      <c r="E28">
        <v>5150</v>
      </c>
      <c r="F28" t="s">
        <v>15</v>
      </c>
      <c r="G28">
        <v>8</v>
      </c>
      <c r="H28">
        <v>4691.08</v>
      </c>
      <c r="I28">
        <v>4650</v>
      </c>
      <c r="J28">
        <v>41.079999999999927</v>
      </c>
      <c r="K28">
        <v>8.7570452859469308E-3</v>
      </c>
      <c r="L28">
        <v>-51</v>
      </c>
      <c r="M28" t="s">
        <v>107</v>
      </c>
      <c r="N28" t="s">
        <v>108</v>
      </c>
    </row>
    <row r="29" spans="1:14">
      <c r="A29" t="s">
        <v>74</v>
      </c>
      <c r="B29" t="s">
        <v>75</v>
      </c>
      <c r="C29">
        <v>1099</v>
      </c>
      <c r="D29">
        <v>999</v>
      </c>
      <c r="E29">
        <v>1050</v>
      </c>
      <c r="F29" t="s">
        <v>20</v>
      </c>
      <c r="G29">
        <v>6</v>
      </c>
      <c r="H29">
        <v>939.06</v>
      </c>
      <c r="I29">
        <v>850</v>
      </c>
      <c r="J29">
        <v>89.059999999999945</v>
      </c>
      <c r="K29">
        <v>9.4839520371435213E-2</v>
      </c>
      <c r="L29">
        <v>-51</v>
      </c>
      <c r="M29" t="s">
        <v>121</v>
      </c>
      <c r="N29" t="s">
        <v>122</v>
      </c>
    </row>
    <row r="30" spans="1:14">
      <c r="A30" t="s">
        <v>76</v>
      </c>
      <c r="B30" t="s">
        <v>77</v>
      </c>
      <c r="C30">
        <v>6799</v>
      </c>
      <c r="D30">
        <v>6499</v>
      </c>
      <c r="E30">
        <v>6550</v>
      </c>
      <c r="F30" t="s">
        <v>23</v>
      </c>
      <c r="G30">
        <v>5</v>
      </c>
      <c r="H30">
        <v>6174.0499999999993</v>
      </c>
      <c r="I30">
        <v>6150</v>
      </c>
      <c r="J30">
        <v>24.049999999999272</v>
      </c>
      <c r="K30">
        <v>3.8953361245858513E-3</v>
      </c>
      <c r="L30">
        <v>-51</v>
      </c>
      <c r="M30" t="s">
        <v>107</v>
      </c>
      <c r="N30" t="s">
        <v>108</v>
      </c>
    </row>
    <row r="31" spans="1:14">
      <c r="A31" t="s">
        <v>78</v>
      </c>
      <c r="B31" t="s">
        <v>79</v>
      </c>
      <c r="C31">
        <v>3799</v>
      </c>
      <c r="D31">
        <v>3599</v>
      </c>
      <c r="E31">
        <v>3650</v>
      </c>
      <c r="F31" t="s">
        <v>15</v>
      </c>
      <c r="G31">
        <v>8</v>
      </c>
      <c r="H31">
        <v>3311.08</v>
      </c>
      <c r="I31">
        <v>2950</v>
      </c>
      <c r="J31">
        <v>361.07999999999993</v>
      </c>
      <c r="K31">
        <v>0.10905203136136847</v>
      </c>
      <c r="L31">
        <v>-51</v>
      </c>
      <c r="M31" t="s">
        <v>121</v>
      </c>
      <c r="N31" t="s">
        <v>122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E97A-0C44-45DC-9B01-769D7CEA6B6A}">
  <dimension ref="A1:N19"/>
  <sheetViews>
    <sheetView workbookViewId="0">
      <selection sqref="A1:N19"/>
    </sheetView>
  </sheetViews>
  <sheetFormatPr defaultRowHeight="13.2"/>
  <cols>
    <col min="1" max="1" width="15" customWidth="1"/>
    <col min="2" max="2" width="9.88671875" customWidth="1"/>
    <col min="3" max="3" width="19.33203125" customWidth="1"/>
    <col min="4" max="4" width="18.33203125" customWidth="1"/>
    <col min="5" max="5" width="22.33203125" customWidth="1"/>
    <col min="6" max="6" width="10.21875" customWidth="1"/>
    <col min="7" max="7" width="17.5546875" customWidth="1"/>
    <col min="8" max="8" width="23.5546875" customWidth="1"/>
    <col min="9" max="9" width="16.6640625" customWidth="1"/>
    <col min="10" max="10" width="12.33203125" customWidth="1"/>
    <col min="11" max="11" width="12.44140625" customWidth="1"/>
    <col min="12" max="12" width="15.21875" customWidth="1"/>
    <col min="14" max="14" width="11.77734375" customWidth="1"/>
  </cols>
  <sheetData>
    <row r="1" spans="1:14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  <row r="2" spans="1:14">
      <c r="A2" t="s">
        <v>11</v>
      </c>
      <c r="B2" t="s">
        <v>12</v>
      </c>
      <c r="C2">
        <v>2199</v>
      </c>
      <c r="D2">
        <v>2099</v>
      </c>
      <c r="E2">
        <v>2088</v>
      </c>
      <c r="F2" t="s">
        <v>15</v>
      </c>
      <c r="G2">
        <v>8</v>
      </c>
      <c r="H2">
        <v>1931.0800000000002</v>
      </c>
      <c r="I2">
        <v>1850</v>
      </c>
      <c r="J2">
        <v>81.080000000000155</v>
      </c>
      <c r="K2">
        <v>4.1986867452410127E-2</v>
      </c>
      <c r="L2">
        <v>11</v>
      </c>
      <c r="M2" t="s">
        <v>107</v>
      </c>
      <c r="N2" t="s">
        <v>116</v>
      </c>
    </row>
    <row r="3" spans="1:14">
      <c r="A3" t="s">
        <v>76</v>
      </c>
      <c r="B3" t="s">
        <v>77</v>
      </c>
      <c r="C3">
        <v>6799</v>
      </c>
      <c r="D3">
        <v>6499</v>
      </c>
      <c r="E3">
        <v>6550</v>
      </c>
      <c r="F3" t="s">
        <v>23</v>
      </c>
      <c r="G3">
        <v>5</v>
      </c>
      <c r="H3">
        <v>6174.0499999999993</v>
      </c>
      <c r="I3">
        <v>6150</v>
      </c>
      <c r="J3">
        <v>24.049999999999272</v>
      </c>
      <c r="K3">
        <v>3.8953361245858513E-3</v>
      </c>
      <c r="L3">
        <v>-51</v>
      </c>
      <c r="M3" t="s">
        <v>107</v>
      </c>
      <c r="N3" t="s">
        <v>108</v>
      </c>
    </row>
    <row r="4" spans="1:14">
      <c r="A4" t="s">
        <v>21</v>
      </c>
      <c r="B4" t="s">
        <v>22</v>
      </c>
      <c r="C4">
        <v>3899</v>
      </c>
      <c r="D4">
        <v>3699</v>
      </c>
      <c r="E4">
        <v>3750</v>
      </c>
      <c r="F4" t="s">
        <v>23</v>
      </c>
      <c r="G4">
        <v>5</v>
      </c>
      <c r="H4">
        <v>3514.0499999999997</v>
      </c>
      <c r="I4">
        <v>3250</v>
      </c>
      <c r="J4">
        <v>264.04999999999973</v>
      </c>
      <c r="K4">
        <v>7.5141218821587558E-2</v>
      </c>
      <c r="L4">
        <v>-51</v>
      </c>
      <c r="M4" t="s">
        <v>107</v>
      </c>
      <c r="N4" t="s">
        <v>122</v>
      </c>
    </row>
    <row r="5" spans="1:14">
      <c r="A5" t="s">
        <v>72</v>
      </c>
      <c r="B5" t="s">
        <v>73</v>
      </c>
      <c r="C5">
        <v>5299</v>
      </c>
      <c r="D5">
        <v>5099</v>
      </c>
      <c r="E5">
        <v>5150</v>
      </c>
      <c r="F5" t="s">
        <v>15</v>
      </c>
      <c r="G5">
        <v>8</v>
      </c>
      <c r="H5">
        <v>4691.08</v>
      </c>
      <c r="I5">
        <v>4650</v>
      </c>
      <c r="J5">
        <v>41.079999999999927</v>
      </c>
      <c r="K5">
        <v>8.7570452859469308E-3</v>
      </c>
      <c r="L5">
        <v>-51</v>
      </c>
      <c r="M5" t="s">
        <v>107</v>
      </c>
      <c r="N5" t="s">
        <v>108</v>
      </c>
    </row>
    <row r="6" spans="1:14">
      <c r="A6" t="s">
        <v>27</v>
      </c>
      <c r="B6" t="s">
        <v>28</v>
      </c>
      <c r="C6">
        <v>4599</v>
      </c>
      <c r="D6">
        <v>4399</v>
      </c>
      <c r="E6">
        <v>4300</v>
      </c>
      <c r="F6" t="s">
        <v>15</v>
      </c>
      <c r="G6">
        <v>8</v>
      </c>
      <c r="H6">
        <v>4047.0800000000004</v>
      </c>
      <c r="I6">
        <v>3950</v>
      </c>
      <c r="J6">
        <v>97.080000000000382</v>
      </c>
      <c r="K6">
        <v>2.3987665180821821E-2</v>
      </c>
      <c r="L6">
        <v>99</v>
      </c>
      <c r="M6" t="s">
        <v>107</v>
      </c>
      <c r="N6" t="s">
        <v>116</v>
      </c>
    </row>
    <row r="7" spans="1:14">
      <c r="A7" t="s">
        <v>29</v>
      </c>
      <c r="B7" t="s">
        <v>30</v>
      </c>
      <c r="C7">
        <v>2399</v>
      </c>
      <c r="D7">
        <v>2199</v>
      </c>
      <c r="E7">
        <v>2250</v>
      </c>
      <c r="F7" t="s">
        <v>20</v>
      </c>
      <c r="G7">
        <v>6</v>
      </c>
      <c r="H7">
        <v>2067.06</v>
      </c>
      <c r="I7">
        <v>2000</v>
      </c>
      <c r="J7">
        <v>67.059999999999945</v>
      </c>
      <c r="K7">
        <v>3.2442212611148179E-2</v>
      </c>
      <c r="L7">
        <v>-51</v>
      </c>
      <c r="M7" t="s">
        <v>107</v>
      </c>
      <c r="N7" t="s">
        <v>116</v>
      </c>
    </row>
    <row r="8" spans="1:14">
      <c r="A8" t="s">
        <v>31</v>
      </c>
      <c r="B8" t="s">
        <v>32</v>
      </c>
      <c r="C8">
        <v>1399</v>
      </c>
      <c r="D8">
        <v>1299</v>
      </c>
      <c r="E8">
        <v>1250</v>
      </c>
      <c r="F8" t="s">
        <v>15</v>
      </c>
      <c r="G8">
        <v>8</v>
      </c>
      <c r="H8">
        <v>1195.0800000000002</v>
      </c>
      <c r="I8">
        <v>1150</v>
      </c>
      <c r="J8">
        <v>45.080000000000155</v>
      </c>
      <c r="K8">
        <v>3.772132409545817E-2</v>
      </c>
      <c r="L8">
        <v>49</v>
      </c>
      <c r="M8" t="s">
        <v>107</v>
      </c>
      <c r="N8" t="s">
        <v>116</v>
      </c>
    </row>
    <row r="9" spans="1:14">
      <c r="A9" t="s">
        <v>33</v>
      </c>
      <c r="B9" t="s">
        <v>34</v>
      </c>
      <c r="C9">
        <v>3299</v>
      </c>
      <c r="D9">
        <v>3099</v>
      </c>
      <c r="E9">
        <v>3150</v>
      </c>
      <c r="F9" t="s">
        <v>23</v>
      </c>
      <c r="G9">
        <v>5</v>
      </c>
      <c r="H9">
        <v>2944.0499999999997</v>
      </c>
      <c r="I9">
        <v>2750</v>
      </c>
      <c r="J9">
        <v>194.04999999999973</v>
      </c>
      <c r="K9">
        <v>6.5912603386491311E-2</v>
      </c>
      <c r="L9">
        <v>-51</v>
      </c>
      <c r="M9" t="s">
        <v>107</v>
      </c>
      <c r="N9" t="s">
        <v>122</v>
      </c>
    </row>
    <row r="10" spans="1:14">
      <c r="A10" t="s">
        <v>35</v>
      </c>
      <c r="B10" t="s">
        <v>36</v>
      </c>
      <c r="C10">
        <v>2499</v>
      </c>
      <c r="D10">
        <v>2299</v>
      </c>
      <c r="E10">
        <v>2350</v>
      </c>
      <c r="F10" t="s">
        <v>20</v>
      </c>
      <c r="G10">
        <v>6</v>
      </c>
      <c r="H10">
        <v>2161.06</v>
      </c>
      <c r="I10">
        <v>2050</v>
      </c>
      <c r="J10">
        <v>111.05999999999995</v>
      </c>
      <c r="K10">
        <v>5.1391446790001176E-2</v>
      </c>
      <c r="L10">
        <v>-51</v>
      </c>
      <c r="M10" t="s">
        <v>107</v>
      </c>
      <c r="N10" t="s">
        <v>122</v>
      </c>
    </row>
    <row r="11" spans="1:14">
      <c r="A11" t="s">
        <v>68</v>
      </c>
      <c r="B11" t="s">
        <v>69</v>
      </c>
      <c r="C11">
        <v>3599</v>
      </c>
      <c r="D11">
        <v>3399</v>
      </c>
      <c r="E11">
        <v>3450</v>
      </c>
      <c r="F11" t="s">
        <v>20</v>
      </c>
      <c r="G11">
        <v>6</v>
      </c>
      <c r="H11">
        <v>3195.06</v>
      </c>
      <c r="I11">
        <v>2950</v>
      </c>
      <c r="J11">
        <v>245.05999999999995</v>
      </c>
      <c r="K11">
        <v>7.6699655092549113E-2</v>
      </c>
      <c r="L11">
        <v>-51</v>
      </c>
      <c r="M11" t="s">
        <v>107</v>
      </c>
      <c r="N11" t="s">
        <v>122</v>
      </c>
    </row>
    <row r="12" spans="1:14">
      <c r="A12" t="s">
        <v>39</v>
      </c>
      <c r="B12" t="s">
        <v>40</v>
      </c>
      <c r="C12">
        <v>5399</v>
      </c>
      <c r="D12">
        <v>5099</v>
      </c>
      <c r="E12">
        <v>5150</v>
      </c>
      <c r="F12" t="s">
        <v>15</v>
      </c>
      <c r="G12">
        <v>8</v>
      </c>
      <c r="H12">
        <v>4691.08</v>
      </c>
      <c r="I12">
        <v>4750</v>
      </c>
      <c r="J12">
        <v>-58.920000000000073</v>
      </c>
      <c r="K12">
        <v>-1.2560007503602597E-2</v>
      </c>
      <c r="L12">
        <v>-51</v>
      </c>
      <c r="M12" t="s">
        <v>105</v>
      </c>
      <c r="N12" t="s">
        <v>106</v>
      </c>
    </row>
    <row r="13" spans="1:14">
      <c r="A13" t="s">
        <v>64</v>
      </c>
      <c r="B13" t="s">
        <v>65</v>
      </c>
      <c r="C13">
        <v>5799</v>
      </c>
      <c r="D13">
        <v>5499</v>
      </c>
      <c r="E13">
        <v>5550</v>
      </c>
      <c r="F13" t="s">
        <v>23</v>
      </c>
      <c r="G13">
        <v>5</v>
      </c>
      <c r="H13">
        <v>5224.05</v>
      </c>
      <c r="I13">
        <v>5150</v>
      </c>
      <c r="J13">
        <v>74.050000000000182</v>
      </c>
      <c r="K13">
        <v>1.4174826044926862E-2</v>
      </c>
      <c r="L13">
        <v>-51</v>
      </c>
      <c r="M13" t="s">
        <v>107</v>
      </c>
      <c r="N13" t="s">
        <v>108</v>
      </c>
    </row>
    <row r="14" spans="1:14">
      <c r="A14" t="s">
        <v>43</v>
      </c>
      <c r="B14" t="s">
        <v>44</v>
      </c>
      <c r="C14">
        <v>4299</v>
      </c>
      <c r="D14">
        <v>4099</v>
      </c>
      <c r="E14">
        <v>4150</v>
      </c>
      <c r="F14" t="s">
        <v>23</v>
      </c>
      <c r="G14">
        <v>5</v>
      </c>
      <c r="H14">
        <v>3894.0499999999997</v>
      </c>
      <c r="I14">
        <v>3650</v>
      </c>
      <c r="J14">
        <v>244.04999999999973</v>
      </c>
      <c r="K14">
        <v>6.2672538873409372E-2</v>
      </c>
      <c r="L14">
        <v>-51</v>
      </c>
      <c r="M14" t="s">
        <v>107</v>
      </c>
      <c r="N14" t="s">
        <v>122</v>
      </c>
    </row>
    <row r="15" spans="1:14">
      <c r="A15" t="s">
        <v>60</v>
      </c>
      <c r="B15" t="s">
        <v>61</v>
      </c>
      <c r="C15">
        <v>5499</v>
      </c>
      <c r="D15">
        <v>5199</v>
      </c>
      <c r="E15">
        <v>5250</v>
      </c>
      <c r="F15" t="s">
        <v>15</v>
      </c>
      <c r="G15">
        <v>8</v>
      </c>
      <c r="H15">
        <v>4783.08</v>
      </c>
      <c r="I15">
        <v>4850</v>
      </c>
      <c r="J15">
        <v>-66.920000000000073</v>
      </c>
      <c r="K15">
        <v>-1.3990984888398285E-2</v>
      </c>
      <c r="L15">
        <v>-51</v>
      </c>
      <c r="M15" t="s">
        <v>105</v>
      </c>
      <c r="N15" t="s">
        <v>106</v>
      </c>
    </row>
    <row r="16" spans="1:14">
      <c r="A16" t="s">
        <v>48</v>
      </c>
      <c r="B16" t="s">
        <v>49</v>
      </c>
      <c r="C16">
        <v>4899</v>
      </c>
      <c r="D16">
        <v>4699</v>
      </c>
      <c r="E16">
        <v>4750</v>
      </c>
      <c r="F16" t="s">
        <v>15</v>
      </c>
      <c r="G16">
        <v>8</v>
      </c>
      <c r="H16">
        <v>4323.08</v>
      </c>
      <c r="I16">
        <v>4250</v>
      </c>
      <c r="J16">
        <v>73.079999999999927</v>
      </c>
      <c r="K16">
        <v>1.6904614302765603E-2</v>
      </c>
      <c r="L16">
        <v>-51</v>
      </c>
      <c r="M16" t="s">
        <v>107</v>
      </c>
      <c r="N16" t="s">
        <v>108</v>
      </c>
    </row>
    <row r="17" spans="1:14">
      <c r="A17" t="s">
        <v>56</v>
      </c>
      <c r="B17" t="s">
        <v>57</v>
      </c>
      <c r="C17">
        <v>2999</v>
      </c>
      <c r="D17">
        <v>2799</v>
      </c>
      <c r="E17">
        <v>2850</v>
      </c>
      <c r="F17" t="s">
        <v>20</v>
      </c>
      <c r="G17">
        <v>6</v>
      </c>
      <c r="H17">
        <v>2631.06</v>
      </c>
      <c r="I17">
        <v>2550</v>
      </c>
      <c r="J17">
        <v>81.059999999999945</v>
      </c>
      <c r="K17">
        <v>3.0808875510250602E-2</v>
      </c>
      <c r="L17">
        <v>-51</v>
      </c>
      <c r="M17" t="s">
        <v>107</v>
      </c>
      <c r="N17" t="s">
        <v>116</v>
      </c>
    </row>
    <row r="18" spans="1:14">
      <c r="A18" t="s">
        <v>52</v>
      </c>
      <c r="B18" t="s">
        <v>53</v>
      </c>
      <c r="C18">
        <v>6299</v>
      </c>
      <c r="D18">
        <v>5999</v>
      </c>
      <c r="E18">
        <v>6050</v>
      </c>
      <c r="F18" t="s">
        <v>23</v>
      </c>
      <c r="G18">
        <v>5</v>
      </c>
      <c r="H18">
        <v>5699.05</v>
      </c>
      <c r="I18">
        <v>5650</v>
      </c>
      <c r="J18">
        <v>49.050000000000182</v>
      </c>
      <c r="K18">
        <v>8.606697607496017E-3</v>
      </c>
      <c r="L18">
        <v>-51</v>
      </c>
      <c r="M18" t="s">
        <v>107</v>
      </c>
      <c r="N18" t="s">
        <v>108</v>
      </c>
    </row>
    <row r="19" spans="1:14">
      <c r="A19" t="s">
        <v>54</v>
      </c>
      <c r="B19" t="s">
        <v>55</v>
      </c>
      <c r="C19">
        <v>3299</v>
      </c>
      <c r="D19">
        <v>3099</v>
      </c>
      <c r="E19">
        <v>3120</v>
      </c>
      <c r="F19" t="s">
        <v>15</v>
      </c>
      <c r="G19">
        <v>8</v>
      </c>
      <c r="H19">
        <v>2851.08</v>
      </c>
      <c r="I19">
        <v>2650</v>
      </c>
      <c r="J19">
        <v>201.07999999999993</v>
      </c>
      <c r="K19">
        <v>7.052765969387037E-2</v>
      </c>
      <c r="L19">
        <v>-21</v>
      </c>
      <c r="M19" t="s">
        <v>107</v>
      </c>
      <c r="N19" t="s">
        <v>122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7"/>
  <sheetViews>
    <sheetView tabSelected="1" workbookViewId="0">
      <selection activeCell="E8" sqref="E8"/>
    </sheetView>
  </sheetViews>
  <sheetFormatPr defaultColWidth="12.6640625" defaultRowHeight="15.75" customHeight="1"/>
  <cols>
    <col min="1" max="1" width="20.44140625" customWidth="1"/>
    <col min="2" max="2" width="18.44140625" bestFit="1" customWidth="1"/>
    <col min="3" max="3" width="13" customWidth="1"/>
    <col min="6" max="6" width="13.33203125" bestFit="1" customWidth="1"/>
    <col min="7" max="7" width="17.44140625" bestFit="1" customWidth="1"/>
  </cols>
  <sheetData>
    <row r="1" spans="1:12" ht="15.75" customHeight="1">
      <c r="A1" s="33" t="s">
        <v>92</v>
      </c>
    </row>
    <row r="3" spans="1:12" ht="13.2">
      <c r="A3" s="10" t="s">
        <v>93</v>
      </c>
      <c r="B3" s="3" t="s">
        <v>94</v>
      </c>
    </row>
    <row r="4" spans="1:12" ht="13.2">
      <c r="A4" s="10" t="s">
        <v>95</v>
      </c>
      <c r="B4" s="5">
        <f>COUNTA('Cleaned data'!A2:A31)</f>
        <v>30</v>
      </c>
    </row>
    <row r="5" spans="1:12" ht="13.2">
      <c r="A5" s="10" t="s">
        <v>96</v>
      </c>
      <c r="B5" s="21">
        <f>MAX('Working sheet'!K2:K31)</f>
        <v>0.16611074049366245</v>
      </c>
    </row>
    <row r="6" spans="1:12" ht="13.2">
      <c r="A6" s="20" t="s">
        <v>97</v>
      </c>
      <c r="B6" s="22">
        <f>AVERAGE('Working sheet'!K2:K31)</f>
        <v>6.4855155791529492E-2</v>
      </c>
    </row>
    <row r="7" spans="1:12" ht="13.2">
      <c r="A7" s="10" t="s">
        <v>98</v>
      </c>
      <c r="B7" s="23">
        <f>MIN('Working sheet'!K2:K31)</f>
        <v>-1.3990984888398285E-2</v>
      </c>
    </row>
    <row r="8" spans="1:12" ht="13.2">
      <c r="A8" s="20" t="s">
        <v>99</v>
      </c>
      <c r="B8" s="5">
        <f>COUNTIF('Working sheet'!K2:K31,"&lt;0.05")</f>
        <v>12</v>
      </c>
    </row>
    <row r="9" spans="1:12" ht="13.2">
      <c r="A9" s="24" t="s">
        <v>100</v>
      </c>
      <c r="B9" s="7">
        <f>COUNTIF('Working sheet'!M2:M31,"LOSS RISK")</f>
        <v>2</v>
      </c>
    </row>
    <row r="11" spans="1:12" ht="15.75" customHeight="1">
      <c r="A11" s="33" t="s">
        <v>101</v>
      </c>
    </row>
    <row r="12" spans="1:12" ht="13.2">
      <c r="A12" s="3" t="s">
        <v>102</v>
      </c>
      <c r="B12" s="3" t="s">
        <v>80</v>
      </c>
      <c r="C12" s="3" t="s">
        <v>8</v>
      </c>
      <c r="D12" s="3" t="s">
        <v>103</v>
      </c>
      <c r="E12" s="3" t="s">
        <v>104</v>
      </c>
      <c r="F12" s="3" t="s">
        <v>91</v>
      </c>
    </row>
    <row r="13" spans="1:12" ht="13.2">
      <c r="A13" s="25" t="s">
        <v>39</v>
      </c>
      <c r="B13" s="25" t="s">
        <v>40</v>
      </c>
      <c r="C13" s="25" t="s">
        <v>15</v>
      </c>
      <c r="D13" s="26">
        <v>-1.25600075036026E-2</v>
      </c>
      <c r="E13" s="3" t="s">
        <v>105</v>
      </c>
      <c r="F13" s="27" t="s">
        <v>106</v>
      </c>
    </row>
    <row r="14" spans="1:12" ht="13.2">
      <c r="A14" s="3" t="s">
        <v>48</v>
      </c>
      <c r="B14" s="3" t="s">
        <v>49</v>
      </c>
      <c r="C14" s="3" t="s">
        <v>15</v>
      </c>
      <c r="D14" s="26">
        <v>1.6904614302765599E-2</v>
      </c>
      <c r="E14" s="3" t="s">
        <v>107</v>
      </c>
      <c r="F14" s="27" t="s">
        <v>108</v>
      </c>
      <c r="G14" s="27"/>
    </row>
    <row r="15" spans="1:12" ht="13.2">
      <c r="A15" s="5" t="s">
        <v>52</v>
      </c>
      <c r="B15" s="5" t="s">
        <v>53</v>
      </c>
      <c r="C15" s="3" t="s">
        <v>45</v>
      </c>
      <c r="D15" s="26">
        <v>8.606697607496017E-3</v>
      </c>
      <c r="E15" s="3" t="s">
        <v>107</v>
      </c>
      <c r="F15" s="27" t="s">
        <v>108</v>
      </c>
      <c r="G15" s="27"/>
      <c r="H15" s="11"/>
      <c r="I15" s="9"/>
      <c r="J15" s="11"/>
    </row>
    <row r="16" spans="1:12" ht="13.2">
      <c r="A16" s="5" t="s">
        <v>60</v>
      </c>
      <c r="B16" s="5" t="s">
        <v>61</v>
      </c>
      <c r="C16" s="3" t="s">
        <v>15</v>
      </c>
      <c r="D16" s="26">
        <v>-1.3990984888398285E-2</v>
      </c>
      <c r="E16" s="3" t="s">
        <v>105</v>
      </c>
      <c r="F16" s="27" t="s">
        <v>106</v>
      </c>
      <c r="G16" s="27"/>
      <c r="H16" s="11"/>
      <c r="I16" s="9"/>
      <c r="J16" s="11"/>
      <c r="L16" s="11"/>
    </row>
    <row r="17" spans="1:17" ht="13.2">
      <c r="A17" s="5" t="s">
        <v>64</v>
      </c>
      <c r="B17" s="5" t="s">
        <v>65</v>
      </c>
      <c r="C17" s="3" t="s">
        <v>45</v>
      </c>
      <c r="D17" s="26">
        <v>1.4174826044926862E-2</v>
      </c>
      <c r="E17" s="3" t="s">
        <v>107</v>
      </c>
      <c r="F17" s="27" t="s">
        <v>108</v>
      </c>
      <c r="G17" s="27"/>
      <c r="H17" s="11"/>
      <c r="I17" s="9"/>
      <c r="J17" s="11"/>
      <c r="L17" s="11"/>
      <c r="O17" s="28"/>
      <c r="P17" s="2"/>
      <c r="Q17" s="11"/>
    </row>
    <row r="18" spans="1:17" ht="13.2">
      <c r="A18" s="25" t="s">
        <v>72</v>
      </c>
      <c r="B18" s="25" t="s">
        <v>73</v>
      </c>
      <c r="C18" s="25" t="s">
        <v>15</v>
      </c>
      <c r="D18" s="26">
        <v>8.7570452859469308E-3</v>
      </c>
      <c r="E18" s="3" t="s">
        <v>107</v>
      </c>
      <c r="F18" s="27" t="s">
        <v>108</v>
      </c>
      <c r="G18" s="3"/>
      <c r="H18" s="11"/>
      <c r="I18" s="9"/>
      <c r="J18" s="16"/>
      <c r="L18" s="11"/>
    </row>
    <row r="19" spans="1:17" ht="13.2">
      <c r="A19" s="25" t="s">
        <v>76</v>
      </c>
      <c r="B19" s="25" t="s">
        <v>77</v>
      </c>
      <c r="C19" s="25" t="s">
        <v>45</v>
      </c>
      <c r="D19" s="26">
        <v>3.8953361245858513E-3</v>
      </c>
      <c r="E19" s="3" t="s">
        <v>107</v>
      </c>
      <c r="F19" s="27" t="s">
        <v>108</v>
      </c>
      <c r="G19" s="3"/>
    </row>
    <row r="20" spans="1:17" ht="13.2">
      <c r="G20" s="3"/>
    </row>
    <row r="21" spans="1:17" ht="13.2">
      <c r="G21" s="3"/>
      <c r="H21" s="11"/>
      <c r="I21" s="1"/>
      <c r="J21" s="11"/>
      <c r="L21" s="11"/>
    </row>
    <row r="22" spans="1:17" ht="15.75" customHeight="1">
      <c r="A22" s="34" t="s">
        <v>109</v>
      </c>
      <c r="B22" s="7"/>
      <c r="C22" s="2"/>
      <c r="D22" s="28"/>
      <c r="E22" s="2"/>
      <c r="G22" s="2"/>
      <c r="H22" s="11"/>
      <c r="I22" s="1"/>
      <c r="J22" s="11"/>
      <c r="L22" s="11"/>
    </row>
    <row r="23" spans="1:17" ht="13.2">
      <c r="A23" s="39" t="s">
        <v>110</v>
      </c>
      <c r="B23" s="40"/>
      <c r="C23" s="40"/>
      <c r="D23" s="40"/>
      <c r="E23" s="40"/>
      <c r="G23" s="2"/>
      <c r="H23" s="11"/>
      <c r="I23" s="1"/>
      <c r="J23" s="11"/>
      <c r="L23" s="11"/>
    </row>
    <row r="24" spans="1:17" ht="13.2">
      <c r="A24" s="39" t="s">
        <v>111</v>
      </c>
      <c r="B24" s="40"/>
      <c r="C24" s="40"/>
      <c r="D24" s="40"/>
      <c r="E24" s="40"/>
      <c r="G24" s="2"/>
      <c r="H24" s="11"/>
      <c r="I24" s="1"/>
      <c r="J24" s="11"/>
      <c r="L24" s="11"/>
    </row>
    <row r="25" spans="1:17" ht="13.2">
      <c r="A25" s="39" t="s">
        <v>112</v>
      </c>
      <c r="B25" s="40"/>
      <c r="C25" s="40"/>
      <c r="D25" s="40"/>
      <c r="E25" s="40"/>
      <c r="G25" s="9"/>
      <c r="H25" s="11"/>
      <c r="I25" s="1"/>
      <c r="J25" s="11"/>
      <c r="L25" s="11"/>
    </row>
    <row r="26" spans="1:17" ht="13.2">
      <c r="G26" s="9"/>
      <c r="H26" s="11"/>
      <c r="I26" s="1"/>
      <c r="J26" s="11"/>
      <c r="L26" s="11"/>
    </row>
    <row r="27" spans="1:17" ht="13.2">
      <c r="G27" s="9"/>
      <c r="H27" s="11"/>
      <c r="I27" s="1"/>
      <c r="J27" s="11"/>
      <c r="L27" s="11"/>
    </row>
    <row r="28" spans="1:17" ht="15.6">
      <c r="A28" s="33" t="s">
        <v>113</v>
      </c>
      <c r="B28" s="35"/>
      <c r="G28" s="9"/>
      <c r="H28" s="11"/>
      <c r="I28" s="9"/>
      <c r="J28" s="16"/>
      <c r="L28" s="11"/>
    </row>
    <row r="29" spans="1:17" ht="13.2">
      <c r="A29" s="36" t="s">
        <v>8</v>
      </c>
      <c r="B29" s="36" t="s">
        <v>123</v>
      </c>
      <c r="G29" s="9"/>
      <c r="H29" s="11"/>
      <c r="I29" s="9"/>
      <c r="J29" s="11"/>
      <c r="L29" s="11"/>
    </row>
    <row r="30" spans="1:17" ht="13.2">
      <c r="A30" s="32" t="s">
        <v>26</v>
      </c>
      <c r="B30" s="30">
        <v>0.12745799453327755</v>
      </c>
      <c r="G30" s="9"/>
      <c r="H30" s="11"/>
      <c r="I30" s="9"/>
      <c r="J30" s="11"/>
      <c r="L30" s="11"/>
    </row>
    <row r="31" spans="1:17" ht="13.2">
      <c r="A31" s="32" t="s">
        <v>20</v>
      </c>
      <c r="B31" s="30">
        <v>7.9252043184431936E-2</v>
      </c>
      <c r="H31" s="11"/>
      <c r="I31" s="9"/>
      <c r="J31" s="11"/>
      <c r="L31" s="11"/>
    </row>
    <row r="32" spans="1:17" ht="13.2">
      <c r="A32" s="32" t="s">
        <v>23</v>
      </c>
      <c r="B32" s="30">
        <v>3.8400536809749496E-2</v>
      </c>
      <c r="H32" s="11"/>
      <c r="I32" s="9"/>
      <c r="J32" s="11"/>
      <c r="L32" s="11"/>
    </row>
    <row r="33" spans="1:13" ht="13.2">
      <c r="A33" s="32" t="s">
        <v>15</v>
      </c>
      <c r="B33" s="30">
        <v>3.6469309156111226E-2</v>
      </c>
      <c r="H33" s="11"/>
      <c r="I33" s="9"/>
      <c r="J33" s="11"/>
      <c r="L33" s="11"/>
    </row>
    <row r="34" spans="1:13" ht="13.2">
      <c r="A34" s="32" t="s">
        <v>120</v>
      </c>
      <c r="B34" s="30">
        <v>6.4855155791529479E-2</v>
      </c>
      <c r="I34" s="9"/>
      <c r="J34" s="11"/>
      <c r="L34" s="11"/>
    </row>
    <row r="35" spans="1:13" ht="13.2">
      <c r="I35" s="9"/>
      <c r="J35" s="11"/>
      <c r="L35" s="11"/>
    </row>
    <row r="36" spans="1:13" ht="13.2">
      <c r="I36" s="9"/>
      <c r="J36" s="11"/>
      <c r="L36" s="11"/>
      <c r="M36" s="2"/>
    </row>
    <row r="37" spans="1:13" ht="13.2">
      <c r="I37" s="9"/>
      <c r="J37" s="11"/>
      <c r="K37" s="28"/>
      <c r="L37" s="11"/>
      <c r="M37" s="2"/>
    </row>
    <row r="38" spans="1:13" ht="13.2">
      <c r="I38" s="9"/>
      <c r="J38" s="11"/>
      <c r="K38" s="28"/>
      <c r="L38" s="11"/>
      <c r="M38" s="2"/>
    </row>
    <row r="39" spans="1:13" ht="13.2">
      <c r="C39" s="9"/>
      <c r="D39" s="9"/>
      <c r="E39" s="9"/>
      <c r="I39" s="9"/>
      <c r="J39" s="11"/>
      <c r="K39" s="28"/>
      <c r="L39" s="11"/>
      <c r="M39" s="2"/>
    </row>
    <row r="40" spans="1:13" ht="13.2">
      <c r="A40" s="8"/>
      <c r="B40" s="8"/>
      <c r="C40" s="9"/>
      <c r="D40" s="9"/>
      <c r="E40" s="9"/>
      <c r="I40" s="9"/>
      <c r="J40" s="11"/>
      <c r="K40" s="28"/>
      <c r="L40" s="11"/>
      <c r="M40" s="2"/>
    </row>
    <row r="41" spans="1:13" ht="13.2">
      <c r="A41" s="8"/>
      <c r="B41" s="8"/>
      <c r="C41" s="9"/>
      <c r="D41" s="9"/>
      <c r="E41" s="9"/>
      <c r="I41" s="9"/>
      <c r="J41" s="16"/>
      <c r="K41" s="28"/>
      <c r="L41" s="11"/>
      <c r="M41" s="2"/>
    </row>
    <row r="42" spans="1:13" ht="13.2">
      <c r="A42" s="8"/>
      <c r="B42" s="8"/>
      <c r="C42" s="9"/>
      <c r="D42" s="9"/>
      <c r="E42" s="9"/>
      <c r="I42" s="9"/>
      <c r="J42" s="11"/>
      <c r="K42" s="28"/>
      <c r="L42" s="11"/>
      <c r="M42" s="2"/>
    </row>
    <row r="43" spans="1:13" ht="13.2">
      <c r="A43" s="8"/>
      <c r="B43" s="8"/>
      <c r="C43" s="9"/>
      <c r="D43" s="9"/>
      <c r="E43" s="9"/>
      <c r="I43" s="9"/>
      <c r="J43" s="11"/>
      <c r="K43" s="28"/>
      <c r="L43" s="11"/>
      <c r="M43" s="2"/>
    </row>
    <row r="44" spans="1:13" ht="13.2">
      <c r="A44" s="8"/>
      <c r="B44" s="8"/>
      <c r="C44" s="9"/>
      <c r="D44" s="9"/>
      <c r="E44" s="9"/>
      <c r="I44" s="9"/>
      <c r="J44" s="11"/>
      <c r="K44" s="28"/>
      <c r="L44" s="11"/>
      <c r="M44" s="2"/>
    </row>
    <row r="45" spans="1:13" ht="13.2">
      <c r="A45" s="8"/>
      <c r="B45" s="8"/>
      <c r="C45" s="9"/>
      <c r="D45" s="9"/>
      <c r="E45" s="9"/>
      <c r="I45" s="9"/>
      <c r="J45" s="11"/>
      <c r="K45" s="28"/>
      <c r="L45" s="11"/>
      <c r="M45" s="2"/>
    </row>
    <row r="46" spans="1:13" ht="13.2">
      <c r="A46" s="8"/>
      <c r="B46" s="8"/>
      <c r="C46" s="9"/>
      <c r="D46" s="9"/>
      <c r="E46" s="9"/>
      <c r="I46" s="9"/>
      <c r="J46" s="11"/>
      <c r="K46" s="28"/>
      <c r="L46" s="11"/>
      <c r="M46" s="2"/>
    </row>
    <row r="47" spans="1:13" ht="13.2">
      <c r="A47" s="8"/>
      <c r="B47" s="8"/>
      <c r="C47" s="9"/>
      <c r="D47" s="9"/>
      <c r="E47" s="9"/>
      <c r="I47" s="9"/>
      <c r="J47" s="11"/>
      <c r="K47" s="28"/>
      <c r="L47" s="11"/>
      <c r="M47" s="2"/>
    </row>
    <row r="48" spans="1:13" ht="13.2">
      <c r="C48" s="8"/>
      <c r="D48" s="8"/>
      <c r="E48" s="9"/>
      <c r="I48" s="9"/>
      <c r="J48" s="9"/>
    </row>
    <row r="49" spans="3:10" ht="13.2">
      <c r="C49" s="8"/>
      <c r="D49" s="8"/>
      <c r="E49" s="9"/>
      <c r="I49" s="9"/>
      <c r="J49" s="9"/>
    </row>
    <row r="69" spans="1:5" ht="13.2">
      <c r="A69" s="10" t="s">
        <v>80</v>
      </c>
      <c r="B69" s="10" t="s">
        <v>8</v>
      </c>
      <c r="C69" s="10" t="s">
        <v>114</v>
      </c>
      <c r="D69" s="10" t="s">
        <v>90</v>
      </c>
      <c r="E69" s="10" t="s">
        <v>91</v>
      </c>
    </row>
    <row r="70" spans="1:5" ht="13.2">
      <c r="A70" s="10" t="s">
        <v>28</v>
      </c>
      <c r="B70" s="10" t="s">
        <v>15</v>
      </c>
      <c r="C70" s="29">
        <v>2.4E-2</v>
      </c>
      <c r="D70" s="10" t="s">
        <v>107</v>
      </c>
      <c r="E70" s="10" t="s">
        <v>115</v>
      </c>
    </row>
    <row r="71" spans="1:5" ht="13.2">
      <c r="A71" s="10" t="s">
        <v>12</v>
      </c>
      <c r="B71" s="10" t="s">
        <v>15</v>
      </c>
      <c r="C71" s="29">
        <v>4.2000000000000003E-2</v>
      </c>
      <c r="D71" s="10" t="s">
        <v>107</v>
      </c>
      <c r="E71" s="10" t="s">
        <v>116</v>
      </c>
    </row>
    <row r="72" spans="1:5" ht="13.2">
      <c r="A72" s="10" t="s">
        <v>30</v>
      </c>
      <c r="B72" s="10" t="s">
        <v>20</v>
      </c>
      <c r="C72" s="29">
        <v>3.2000000000000001E-2</v>
      </c>
      <c r="D72" s="10" t="s">
        <v>107</v>
      </c>
      <c r="E72" s="10" t="s">
        <v>116</v>
      </c>
    </row>
    <row r="74" spans="1:5" ht="13.2">
      <c r="A74" s="42" t="s">
        <v>117</v>
      </c>
      <c r="B74" s="40"/>
      <c r="C74" s="40"/>
      <c r="D74" s="40"/>
    </row>
    <row r="75" spans="1:5" ht="13.2">
      <c r="A75" s="41" t="s">
        <v>118</v>
      </c>
      <c r="B75" s="40"/>
      <c r="C75" s="40"/>
      <c r="D75" s="40"/>
    </row>
    <row r="76" spans="1:5" ht="13.2">
      <c r="A76" s="41" t="s">
        <v>119</v>
      </c>
      <c r="B76" s="40"/>
      <c r="C76" s="40"/>
      <c r="D76" s="40"/>
    </row>
    <row r="77" spans="1:5" ht="13.2">
      <c r="A77" s="20"/>
    </row>
  </sheetData>
  <mergeCells count="6">
    <mergeCell ref="A23:E23"/>
    <mergeCell ref="A76:D76"/>
    <mergeCell ref="A75:D75"/>
    <mergeCell ref="A74:D74"/>
    <mergeCell ref="A24:E24"/>
    <mergeCell ref="A25:E2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Working sheet</vt:lpstr>
      <vt:lpstr>Sheet2</vt:lpstr>
      <vt:lpstr>Sheet3</vt:lpstr>
      <vt:lpstr>Sheet4</vt:lpstr>
      <vt:lpstr>Sheet5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5</dc:creator>
  <cp:lastModifiedBy>athiralirahman</cp:lastModifiedBy>
  <dcterms:created xsi:type="dcterms:W3CDTF">2026-05-28T08:54:08Z</dcterms:created>
  <dcterms:modified xsi:type="dcterms:W3CDTF">2026-05-29T17:47:01Z</dcterms:modified>
</cp:coreProperties>
</file>